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Raw Data" sheetId="2" state="visible" r:id="rId2"/>
    <sheet xmlns:r="http://schemas.openxmlformats.org/officeDocument/2006/relationships" name="Cleaned Data" sheetId="3" state="visible" r:id="rId3"/>
    <sheet xmlns:r="http://schemas.openxmlformats.org/officeDocument/2006/relationships" name="Analysis" sheetId="4" state="visible" r:id="rId4"/>
    <sheet xmlns:r="http://schemas.openxmlformats.org/officeDocument/2006/relationships" name="Insights" sheetId="5" state="visible" r:id="rId5"/>
  </sheets>
  <definedNames>
    <definedName name="_xlnm._FilterDatabase" localSheetId="1" hidden="1">'Raw Data'!$A$1:$J$82</definedName>
    <definedName name="_xlnm._FilterDatabase" localSheetId="2" hidden="1">'Cleaned Data'!$A$1:$P$81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&quot;$&quot;#,##0.00"/>
    <numFmt numFmtId="167" formatCode="mmm"/>
  </numFmts>
  <fonts count="8">
    <font>
      <name val="Calibri"/>
      <family val="2"/>
      <color theme="1"/>
      <sz val="11"/>
      <scheme val="minor"/>
    </font>
    <font>
      <b val="1"/>
      <color rgb="00FFFFFF"/>
      <sz val="20"/>
    </font>
    <font>
      <b val="1"/>
      <color rgb="00FFFFFF"/>
    </font>
    <font>
      <b val="1"/>
      <color rgb="0017365D"/>
      <sz val="14"/>
    </font>
    <font>
      <i val="1"/>
      <color rgb="00666666"/>
    </font>
    <font>
      <b val="1"/>
      <color rgb="0017365D"/>
      <sz val="13"/>
    </font>
    <font>
      <b val="1"/>
      <color rgb="00FFFFFF"/>
      <sz val="18"/>
    </font>
    <font>
      <b val="1"/>
      <color rgb="0017365D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  <xf numFmtId="0" fontId="2" fillId="2" borderId="0" applyAlignment="1" pivotButton="0" quotePrefix="0" xfId="0">
      <alignment horizontal="left" vertical="center"/>
    </xf>
    <xf numFmtId="165" fontId="0" fillId="0" borderId="0" applyAlignment="1" pivotButton="0" quotePrefix="0" xfId="0">
      <alignment horizontal="left" vertical="center"/>
    </xf>
    <xf numFmtId="166" fontId="0" fillId="0" borderId="0" applyAlignment="1" pivotButton="0" quotePrefix="0" xfId="0">
      <alignment horizontal="left" vertical="center"/>
    </xf>
    <xf numFmtId="9" fontId="0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166" fontId="3" fillId="4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167" fontId="0" fillId="0" borderId="0" applyAlignment="1" pivotButton="0" quotePrefix="0" xfId="0">
      <alignment horizontal="left" vertical="center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Net Sales by Region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'Analysis'!B9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'Analysis'!$A$10:$A$14</f>
            </numRef>
          </cat>
          <val>
            <numRef>
              <f>'Analysis'!$B$10:$B$14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Region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Sales Mix by Category</a:t>
            </a:r>
          </a:p>
        </rich>
      </tx>
    </title>
    <plotArea>
      <pieChart>
        <varyColors val="1"/>
        <ser>
          <idx val="0"/>
          <order val="0"/>
          <tx>
            <strRef>
              <f>'Analysis'!E9</f>
            </strRef>
          </tx>
          <spPr>
            <a:ln xmlns:a="http://schemas.openxmlformats.org/drawingml/2006/main">
              <a:prstDash val="solid"/>
            </a:ln>
          </spPr>
          <cat>
            <numRef>
              <f>'Analysis'!$D$10:$D$13</f>
            </numRef>
          </cat>
          <val>
            <numRef>
              <f>'Analysis'!$E$10:$E$13</f>
            </numRef>
          </val>
        </ser>
        <dLbls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Monthly Net Sales Trend</a:t>
            </a:r>
          </a:p>
        </rich>
      </tx>
    </title>
    <plotArea>
      <lineChart>
        <grouping val="standard"/>
        <ser>
          <idx val="0"/>
          <order val="0"/>
          <tx>
            <strRef>
              <f>'Analysis'!B19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'Analysis'!$A$20:$A$31</f>
            </numRef>
          </cat>
          <val>
            <numRef>
              <f>'Analysis'!$B$20:$B$31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Net Sales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/Relationships>
</file>

<file path=xl/drawings/drawing1.xml><?xml version="1.0" encoding="utf-8"?>
<wsDr xmlns="http://schemas.openxmlformats.org/drawingml/2006/spreadsheetDrawing">
  <oneCellAnchor>
    <from>
      <col>9</col>
      <colOff>0</colOff>
      <row>3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17</row>
      <rowOff>0</rowOff>
    </from>
    <ext cx="3600000" cy="25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32</row>
      <rowOff>0</rowOff>
    </from>
    <ext cx="5040000" cy="252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SalesData" displayName="RawSalesData" ref="A1:J82" headerRowCount="1">
  <autoFilter ref="A1:J82"/>
  <tableColumns count="10">
    <tableColumn id="1" name="Order ID"/>
    <tableColumn id="2" name="Order Date"/>
    <tableColumn id="3" name="Region"/>
    <tableColumn id="4" name="Sales Rep"/>
    <tableColumn id="5" name="Sales Channel"/>
    <tableColumn id="6" name="Product"/>
    <tableColumn id="7" name="Category"/>
    <tableColumn id="8" name="Quantity"/>
    <tableColumn id="9" name="Unit Price"/>
    <tableColumn id="10" name="Discount Rate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CleanSalesData" displayName="CleanSalesData" ref="A1:P81" headerRowCount="1">
  <autoFilter ref="A1:P81"/>
  <tableColumns count="16">
    <tableColumn id="1" name="Order ID"/>
    <tableColumn id="2" name="Order Date"/>
    <tableColumn id="3" name="Region"/>
    <tableColumn id="4" name="Sales Rep"/>
    <tableColumn id="5" name="Sales Channel"/>
    <tableColumn id="6" name="Product"/>
    <tableColumn id="7" name="Category"/>
    <tableColumn id="8" name="Quantity"/>
    <tableColumn id="9" name="Unit Price"/>
    <tableColumn id="10" name="Discount Rate"/>
    <tableColumn id="11" name="Gross Sales"/>
    <tableColumn id="12" name="Discount Amount"/>
    <tableColumn id="13" name="Net Sales"/>
    <tableColumn id="14" name="Estimated Unit Cost"/>
    <tableColumn id="15" name="Estimated Profit"/>
    <tableColumn id="16" name="Data Quality Note"/>
  </tableColumns>
  <tableStyleInfo name="TableStyleMedium4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showGridLines="0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60" customWidth="1" min="2" max="2"/>
    <col width="78" customWidth="1" min="3" max="3"/>
    <col width="18" customWidth="1" min="4" max="4"/>
    <col width="18" customWidth="1" min="5" max="5"/>
    <col width="18" customWidth="1" min="6" max="6"/>
  </cols>
  <sheetData>
    <row r="1" ht="32" customHeight="1">
      <c r="A1" s="1" t="inlineStr">
        <is>
          <t>SkillZeno Internship — Task 1</t>
        </is>
      </c>
    </row>
    <row r="2"/>
    <row r="3">
      <c r="A3" s="2" t="inlineStr">
        <is>
          <t>Project</t>
        </is>
      </c>
      <c r="B3" s="2" t="inlineStr">
        <is>
          <t>Excel Sales Data Analysis</t>
        </is>
      </c>
    </row>
    <row r="4">
      <c r="A4" s="2" t="inlineStr">
        <is>
          <t>Dataset source</t>
        </is>
      </c>
      <c r="B4" s="2" t="inlineStr">
        <is>
          <t>Synthetic/sample data created for learning and demonstration</t>
        </is>
      </c>
    </row>
    <row r="5">
      <c r="A5" s="2" t="inlineStr">
        <is>
          <t>Period covered</t>
        </is>
      </c>
      <c r="B5" s="2" t="inlineStr">
        <is>
          <t>January–December 2025</t>
        </is>
      </c>
    </row>
    <row r="6"/>
    <row r="7">
      <c r="A7" s="2" t="inlineStr">
        <is>
          <t>Workbook guide</t>
        </is>
      </c>
    </row>
    <row r="8">
      <c r="A8" s="3" t="inlineStr">
        <is>
          <t>Step</t>
        </is>
      </c>
      <c r="B8" s="3" t="inlineStr">
        <is>
          <t>Sheet</t>
        </is>
      </c>
      <c r="C8" s="3" t="inlineStr">
        <is>
          <t>Purpose</t>
        </is>
      </c>
    </row>
    <row r="9">
      <c r="A9" s="2" t="inlineStr">
        <is>
          <t>1</t>
        </is>
      </c>
      <c r="B9" s="2" t="inlineStr">
        <is>
          <t>Raw Data</t>
        </is>
      </c>
      <c r="C9" s="2" t="inlineStr">
        <is>
          <t>Original sample records, including deliberately inserted data-quality issues.</t>
        </is>
      </c>
    </row>
    <row r="10">
      <c r="A10" s="2" t="inlineStr">
        <is>
          <t>2</t>
        </is>
      </c>
      <c r="B10" s="2" t="inlineStr">
        <is>
          <t>Cleaned Data</t>
        </is>
      </c>
      <c r="C10" s="2" t="inlineStr">
        <is>
          <t>Cleaned records with formulas for gross sales, discount, net sales and estimated profit.</t>
        </is>
      </c>
    </row>
    <row r="11">
      <c r="A11" s="2" t="inlineStr">
        <is>
          <t>3</t>
        </is>
      </c>
      <c r="B11" s="2" t="inlineStr">
        <is>
          <t>Analysis</t>
        </is>
      </c>
      <c r="C11" s="2" t="inlineStr">
        <is>
          <t>Formula-driven summaries by region, category, month, and sales channel, with charts.</t>
        </is>
      </c>
    </row>
    <row r="12">
      <c r="A12" s="2" t="inlineStr">
        <is>
          <t>4</t>
        </is>
      </c>
      <c r="B12" s="2" t="inlineStr">
        <is>
          <t>Insights</t>
        </is>
      </c>
      <c r="C12" s="2" t="inlineStr">
        <is>
          <t>A short report explaining key findings and recommendations.</t>
        </is>
      </c>
    </row>
    <row r="13"/>
    <row r="14"/>
    <row r="15">
      <c r="A15" s="4" t="inlineStr">
        <is>
          <t>Before submitting</t>
        </is>
      </c>
    </row>
    <row r="16">
      <c r="A16" s="5" t="inlineStr">
        <is>
          <t>• Review the Raw Data and Cleaned Data sheets to understand the cleaning decisions.</t>
        </is>
      </c>
    </row>
    <row r="17">
      <c r="A17" s="5" t="inlineStr">
        <is>
          <t>• Excel will calculate formula cells when the workbook is opened in desktop Excel.</t>
        </is>
      </c>
    </row>
    <row r="18">
      <c r="A18" s="5" t="inlineStr">
        <is>
          <t>• The Analysis sheet uses formulas and summary tables rather than a native Excel PivotTable object. If your mentor specifically requires an actual PivotTable, create one using the instructions in the guide.</t>
        </is>
      </c>
    </row>
    <row r="19">
      <c r="A19" s="5" t="inlineStr">
        <is>
          <t>• Replace the sample data with genuine data only if you have permission and can protect private information.</t>
        </is>
      </c>
    </row>
    <row r="20">
      <c r="A20" s="5" t="inlineStr">
        <is>
          <t>• Add your name and internship details to the report before submitting, if required by SkillZeno.</t>
        </is>
      </c>
    </row>
  </sheetData>
  <mergeCells count="6">
    <mergeCell ref="A16:F16"/>
    <mergeCell ref="A19:F19"/>
    <mergeCell ref="A1:F1"/>
    <mergeCell ref="A17:F17"/>
    <mergeCell ref="A18:F18"/>
    <mergeCell ref="A20:F20"/>
  </mergeCells>
  <pageMargins left="0.25" right="0.2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J8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Region</t>
        </is>
      </c>
      <c r="D1" s="6" t="inlineStr">
        <is>
          <t>Sales Rep</t>
        </is>
      </c>
      <c r="E1" s="6" t="inlineStr">
        <is>
          <t>Sales Channel</t>
        </is>
      </c>
      <c r="F1" s="6" t="inlineStr">
        <is>
          <t>Product</t>
        </is>
      </c>
      <c r="G1" s="6" t="inlineStr">
        <is>
          <t>Category</t>
        </is>
      </c>
      <c r="H1" s="6" t="inlineStr">
        <is>
          <t>Quantity</t>
        </is>
      </c>
      <c r="I1" s="6" t="inlineStr">
        <is>
          <t>Unit Price</t>
        </is>
      </c>
      <c r="J1" s="6" t="inlineStr">
        <is>
          <t>Discount Rate</t>
        </is>
      </c>
    </row>
    <row r="2">
      <c r="A2" s="2" t="inlineStr">
        <is>
          <t>S001</t>
        </is>
      </c>
      <c r="B2" s="7" t="n">
        <v>45925</v>
      </c>
      <c r="C2" s="2" t="inlineStr">
        <is>
          <t>East</t>
        </is>
      </c>
      <c r="D2" s="2" t="inlineStr">
        <is>
          <t>Aarav</t>
        </is>
      </c>
      <c r="E2" s="2" t="inlineStr">
        <is>
          <t>Online</t>
        </is>
      </c>
      <c r="F2" s="2" t="inlineStr">
        <is>
          <t>Pen Set</t>
        </is>
      </c>
      <c r="G2" s="2" t="inlineStr">
        <is>
          <t>Stationery</t>
        </is>
      </c>
      <c r="H2" s="2" t="n">
        <v>5</v>
      </c>
      <c r="I2" s="8" t="n">
        <v>6.79</v>
      </c>
      <c r="J2" s="9" t="n">
        <v>0.05</v>
      </c>
    </row>
    <row r="3">
      <c r="A3" s="2" t="inlineStr">
        <is>
          <t>S002</t>
        </is>
      </c>
      <c r="B3" s="7" t="n">
        <v>45785</v>
      </c>
      <c r="C3" s="2" t="inlineStr">
        <is>
          <t>East</t>
        </is>
      </c>
      <c r="D3" s="2" t="inlineStr">
        <is>
          <t>Ananya</t>
        </is>
      </c>
      <c r="E3" s="2" t="inlineStr">
        <is>
          <t>Wholesale</t>
        </is>
      </c>
      <c r="F3" s="2" t="inlineStr">
        <is>
          <t>Pen Set</t>
        </is>
      </c>
      <c r="G3" s="2" t="inlineStr">
        <is>
          <t>Stationery</t>
        </is>
      </c>
      <c r="H3" s="2" t="n">
        <v>12</v>
      </c>
      <c r="I3" s="8" t="n">
        <v>6.76</v>
      </c>
      <c r="J3" s="9" t="n">
        <v>0.1</v>
      </c>
    </row>
    <row r="4">
      <c r="A4" s="2" t="inlineStr">
        <is>
          <t>S003</t>
        </is>
      </c>
      <c r="B4" s="7" t="n">
        <v>45863</v>
      </c>
      <c r="C4" s="2" t="inlineStr">
        <is>
          <t>South</t>
        </is>
      </c>
      <c r="D4" s="2" t="inlineStr">
        <is>
          <t>Diya</t>
        </is>
      </c>
      <c r="E4" s="2" t="inlineStr">
        <is>
          <t>Wholesale</t>
        </is>
      </c>
      <c r="F4" s="2" t="inlineStr">
        <is>
          <t>Keyboard</t>
        </is>
      </c>
      <c r="G4" s="2" t="inlineStr">
        <is>
          <t>Electronics</t>
        </is>
      </c>
      <c r="H4" s="2" t="n">
        <v>9</v>
      </c>
      <c r="I4" s="8" t="n">
        <v>39.88</v>
      </c>
      <c r="J4" s="9" t="n">
        <v>0</v>
      </c>
    </row>
    <row r="5">
      <c r="A5" s="2" t="inlineStr">
        <is>
          <t>S004</t>
        </is>
      </c>
      <c r="B5" s="7" t="n">
        <v>45930</v>
      </c>
      <c r="C5" s="2" t="inlineStr">
        <is>
          <t>North</t>
        </is>
      </c>
      <c r="D5" s="2" t="inlineStr">
        <is>
          <t>Ananya</t>
        </is>
      </c>
      <c r="E5" s="2" t="inlineStr">
        <is>
          <t>Wholesale</t>
        </is>
      </c>
      <c r="F5" s="2" t="inlineStr">
        <is>
          <t>Backpack</t>
        </is>
      </c>
      <c r="G5" s="2" t="inlineStr">
        <is>
          <t>Accessories</t>
        </is>
      </c>
      <c r="H5" s="2" t="n">
        <v>11</v>
      </c>
      <c r="I5" s="8" t="n">
        <v>46.86</v>
      </c>
      <c r="J5" s="9" t="n">
        <v>0</v>
      </c>
    </row>
    <row r="6">
      <c r="A6" s="2" t="inlineStr">
        <is>
          <t>S005</t>
        </is>
      </c>
      <c r="B6" s="7" t="n">
        <v>45693</v>
      </c>
      <c r="C6" s="2" t="inlineStr">
        <is>
          <t>West</t>
        </is>
      </c>
      <c r="D6" s="2" t="inlineStr">
        <is>
          <t>Ananya</t>
        </is>
      </c>
      <c r="E6" s="2" t="inlineStr">
        <is>
          <t>Wholesale</t>
        </is>
      </c>
      <c r="F6" s="2" t="inlineStr">
        <is>
          <t>Desk</t>
        </is>
      </c>
      <c r="G6" s="2" t="inlineStr">
        <is>
          <t>Furniture</t>
        </is>
      </c>
      <c r="H6" s="2" t="n">
        <v>7</v>
      </c>
      <c r="I6" s="8" t="n">
        <v>190.19</v>
      </c>
      <c r="J6" s="9" t="n">
        <v>0</v>
      </c>
    </row>
    <row r="7">
      <c r="A7" s="2" t="inlineStr">
        <is>
          <t>S006</t>
        </is>
      </c>
      <c r="B7" s="7" t="n">
        <v>45730</v>
      </c>
      <c r="C7" s="2" t="inlineStr">
        <is>
          <t>East</t>
        </is>
      </c>
      <c r="D7" s="2" t="inlineStr">
        <is>
          <t>Kabir</t>
        </is>
      </c>
      <c r="E7" s="2" t="inlineStr">
        <is>
          <t>Online</t>
        </is>
      </c>
      <c r="F7" s="2" t="inlineStr">
        <is>
          <t>Pen Set</t>
        </is>
      </c>
      <c r="G7" s="2" t="inlineStr">
        <is>
          <t>Stationery</t>
        </is>
      </c>
      <c r="H7" s="2" t="n">
        <v>9</v>
      </c>
      <c r="I7" s="8" t="n">
        <v>6.53</v>
      </c>
      <c r="J7" s="9" t="n">
        <v>0.05</v>
      </c>
    </row>
    <row r="8">
      <c r="A8" s="2" t="inlineStr">
        <is>
          <t>S007</t>
        </is>
      </c>
      <c r="B8" s="7" t="n">
        <v>45839</v>
      </c>
      <c r="C8" s="2" t="inlineStr"/>
      <c r="D8" s="2" t="inlineStr">
        <is>
          <t>Meera</t>
        </is>
      </c>
      <c r="E8" s="2" t="inlineStr">
        <is>
          <t>Online</t>
        </is>
      </c>
      <c r="F8" s="2" t="inlineStr">
        <is>
          <t>Laptop</t>
        </is>
      </c>
      <c r="G8" s="2" t="inlineStr">
        <is>
          <t>Electronics</t>
        </is>
      </c>
      <c r="H8" s="2" t="n">
        <v>8</v>
      </c>
      <c r="I8" s="8" t="n">
        <v>859.53</v>
      </c>
      <c r="J8" s="9" t="n">
        <v>0.05</v>
      </c>
    </row>
    <row r="9">
      <c r="A9" s="2" t="inlineStr">
        <is>
          <t>S008</t>
        </is>
      </c>
      <c r="B9" s="7" t="n">
        <v>45717</v>
      </c>
      <c r="C9" s="2" t="inlineStr">
        <is>
          <t>East</t>
        </is>
      </c>
      <c r="D9" s="2" t="inlineStr">
        <is>
          <t>Aarav</t>
        </is>
      </c>
      <c r="E9" s="2" t="inlineStr">
        <is>
          <t>Retail</t>
        </is>
      </c>
      <c r="F9" s="2" t="inlineStr">
        <is>
          <t>Backpack</t>
        </is>
      </c>
      <c r="G9" s="2" t="inlineStr">
        <is>
          <t>Accessories</t>
        </is>
      </c>
      <c r="H9" s="2" t="n">
        <v>4</v>
      </c>
      <c r="I9" s="8" t="n">
        <v>48.18</v>
      </c>
      <c r="J9" s="9" t="n">
        <v>0</v>
      </c>
    </row>
    <row r="10">
      <c r="A10" s="2" t="inlineStr">
        <is>
          <t>S009</t>
        </is>
      </c>
      <c r="B10" s="7" t="n">
        <v>45690</v>
      </c>
      <c r="C10" s="2" t="inlineStr">
        <is>
          <t>South</t>
        </is>
      </c>
      <c r="D10" s="2" t="inlineStr">
        <is>
          <t>Ishaan</t>
        </is>
      </c>
      <c r="E10" s="2" t="inlineStr">
        <is>
          <t>Wholesale</t>
        </is>
      </c>
      <c r="F10" s="2" t="inlineStr">
        <is>
          <t>Desk</t>
        </is>
      </c>
      <c r="G10" s="2" t="inlineStr">
        <is>
          <t>Furniture</t>
        </is>
      </c>
      <c r="H10" s="2" t="n">
        <v>4</v>
      </c>
      <c r="I10" s="8" t="n">
        <v>198.74</v>
      </c>
      <c r="J10" s="9" t="n">
        <v>0.15</v>
      </c>
    </row>
    <row r="11">
      <c r="A11" s="2" t="inlineStr">
        <is>
          <t>S010</t>
        </is>
      </c>
      <c r="B11" s="7" t="n">
        <v>45815</v>
      </c>
      <c r="C11" s="2" t="inlineStr">
        <is>
          <t>East</t>
        </is>
      </c>
      <c r="D11" s="2" t="inlineStr">
        <is>
          <t>Ishaan</t>
        </is>
      </c>
      <c r="E11" s="2" t="inlineStr">
        <is>
          <t>Online</t>
        </is>
      </c>
      <c r="F11" s="2" t="inlineStr">
        <is>
          <t>Notebook Pack</t>
        </is>
      </c>
      <c r="G11" s="2" t="inlineStr">
        <is>
          <t>Stationery</t>
        </is>
      </c>
      <c r="H11" s="2" t="n">
        <v>6</v>
      </c>
      <c r="I11" s="8" t="n">
        <v>8.789999999999999</v>
      </c>
      <c r="J11" s="9" t="n">
        <v>0</v>
      </c>
    </row>
    <row r="12">
      <c r="A12" s="2" t="inlineStr">
        <is>
          <t>S011</t>
        </is>
      </c>
      <c r="B12" s="7" t="n">
        <v>45683</v>
      </c>
      <c r="C12" s="2" t="inlineStr">
        <is>
          <t>West</t>
        </is>
      </c>
      <c r="D12" s="2" t="inlineStr">
        <is>
          <t>Ananya</t>
        </is>
      </c>
      <c r="E12" s="2" t="inlineStr">
        <is>
          <t>Online</t>
        </is>
      </c>
      <c r="F12" s="2" t="inlineStr">
        <is>
          <t>Notebook Pack</t>
        </is>
      </c>
      <c r="G12" s="2" t="inlineStr">
        <is>
          <t>Stationery</t>
        </is>
      </c>
      <c r="H12" s="2" t="n">
        <v>1</v>
      </c>
      <c r="I12" s="8" t="n">
        <v>9.31</v>
      </c>
      <c r="J12" s="9" t="n">
        <v>0.1</v>
      </c>
    </row>
    <row r="13">
      <c r="A13" s="2" t="inlineStr">
        <is>
          <t>S012</t>
        </is>
      </c>
      <c r="B13" s="7" t="n">
        <v>45759</v>
      </c>
      <c r="C13" s="2" t="inlineStr">
        <is>
          <t>West</t>
        </is>
      </c>
      <c r="D13" s="2" t="inlineStr">
        <is>
          <t>Aarav</t>
        </is>
      </c>
      <c r="E13" s="2" t="inlineStr">
        <is>
          <t>Wholesale</t>
        </is>
      </c>
      <c r="F13" s="2" t="inlineStr">
        <is>
          <t>Desk</t>
        </is>
      </c>
      <c r="G13" s="2" t="inlineStr">
        <is>
          <t>Furniture</t>
        </is>
      </c>
      <c r="H13" s="2" t="n">
        <v>5</v>
      </c>
      <c r="I13" s="8" t="n">
        <v>196.6</v>
      </c>
      <c r="J13" s="9" t="n">
        <v>0</v>
      </c>
    </row>
    <row r="14">
      <c r="A14" s="2" t="inlineStr">
        <is>
          <t>S013</t>
        </is>
      </c>
      <c r="B14" s="7" t="n">
        <v>45946</v>
      </c>
      <c r="C14" s="2" t="inlineStr">
        <is>
          <t>West</t>
        </is>
      </c>
      <c r="D14" s="2" t="inlineStr">
        <is>
          <t>Diya</t>
        </is>
      </c>
      <c r="E14" s="2" t="inlineStr">
        <is>
          <t>Online</t>
        </is>
      </c>
      <c r="F14" s="2" t="inlineStr">
        <is>
          <t>Backpack</t>
        </is>
      </c>
      <c r="G14" s="2" t="inlineStr">
        <is>
          <t>Accessories</t>
        </is>
      </c>
      <c r="H14" s="2" t="n">
        <v>11</v>
      </c>
      <c r="I14" s="8" t="n">
        <v>47.35</v>
      </c>
      <c r="J14" s="9" t="n">
        <v>0</v>
      </c>
    </row>
    <row r="15">
      <c r="A15" s="2" t="inlineStr">
        <is>
          <t>S014</t>
        </is>
      </c>
      <c r="B15" s="7" t="n">
        <v>45786</v>
      </c>
      <c r="C15" s="2" t="inlineStr">
        <is>
          <t>North</t>
        </is>
      </c>
      <c r="D15" s="2" t="inlineStr">
        <is>
          <t>Kabir</t>
        </is>
      </c>
      <c r="E15" s="2" t="inlineStr">
        <is>
          <t>Retail</t>
        </is>
      </c>
      <c r="F15" s="2" t="inlineStr">
        <is>
          <t>Keyboard</t>
        </is>
      </c>
      <c r="G15" s="2" t="inlineStr">
        <is>
          <t>Electronics</t>
        </is>
      </c>
      <c r="H15" s="2" t="n">
        <v>11</v>
      </c>
      <c r="I15" s="8" t="n">
        <v>44.4</v>
      </c>
      <c r="J15" s="9" t="n">
        <v>0</v>
      </c>
    </row>
    <row r="16">
      <c r="A16" s="2" t="inlineStr">
        <is>
          <t>S015</t>
        </is>
      </c>
      <c r="B16" s="7" t="n">
        <v>45819</v>
      </c>
      <c r="C16" s="2" t="inlineStr">
        <is>
          <t>North</t>
        </is>
      </c>
      <c r="D16" s="2" t="inlineStr">
        <is>
          <t>Ananya</t>
        </is>
      </c>
      <c r="E16" s="2" t="inlineStr">
        <is>
          <t>Retail</t>
        </is>
      </c>
      <c r="F16" s="2" t="inlineStr">
        <is>
          <t>Notebook Pack</t>
        </is>
      </c>
      <c r="G16" s="2" t="inlineStr">
        <is>
          <t>Stationery</t>
        </is>
      </c>
      <c r="H16" s="2" t="n">
        <v>1</v>
      </c>
      <c r="I16" s="8" t="n">
        <v>9.539999999999999</v>
      </c>
      <c r="J16" s="9" t="n">
        <v>0</v>
      </c>
    </row>
    <row r="17">
      <c r="A17" s="2" t="inlineStr">
        <is>
          <t>S016</t>
        </is>
      </c>
      <c r="B17" s="7" t="n">
        <v>45786</v>
      </c>
      <c r="C17" s="2" t="inlineStr">
        <is>
          <t>South</t>
        </is>
      </c>
      <c r="D17" s="2" t="inlineStr">
        <is>
          <t>Diya</t>
        </is>
      </c>
      <c r="E17" s="2" t="inlineStr">
        <is>
          <t>Wholesale</t>
        </is>
      </c>
      <c r="F17" s="2" t="inlineStr">
        <is>
          <t>Pen Set</t>
        </is>
      </c>
      <c r="G17" s="2" t="inlineStr">
        <is>
          <t>Stationery</t>
        </is>
      </c>
      <c r="H17" s="2" t="n">
        <v>8</v>
      </c>
      <c r="I17" s="8" t="n">
        <v>7.04</v>
      </c>
      <c r="J17" s="9" t="n">
        <v>0</v>
      </c>
    </row>
    <row r="18">
      <c r="A18" s="2" t="inlineStr">
        <is>
          <t>S017</t>
        </is>
      </c>
      <c r="B18" s="7" t="n">
        <v>45793</v>
      </c>
      <c r="C18" s="2" t="inlineStr">
        <is>
          <t>West</t>
        </is>
      </c>
      <c r="D18" s="2" t="inlineStr">
        <is>
          <t>Kabir</t>
        </is>
      </c>
      <c r="E18" s="2" t="inlineStr">
        <is>
          <t>Retail</t>
        </is>
      </c>
      <c r="F18" s="2" t="inlineStr">
        <is>
          <t>Monitor</t>
        </is>
      </c>
      <c r="G18" s="2" t="inlineStr">
        <is>
          <t>Electronics</t>
        </is>
      </c>
      <c r="H18" s="2" t="n">
        <v>3</v>
      </c>
      <c r="I18" s="8" t="n">
        <v>215.48</v>
      </c>
      <c r="J18" s="9" t="n">
        <v>0.05</v>
      </c>
    </row>
    <row r="19">
      <c r="A19" s="2" t="inlineStr">
        <is>
          <t>S018</t>
        </is>
      </c>
      <c r="B19" s="7" t="n">
        <v>45907</v>
      </c>
      <c r="C19" s="2" t="inlineStr">
        <is>
          <t>West</t>
        </is>
      </c>
      <c r="D19" s="2" t="inlineStr">
        <is>
          <t>Aarav</t>
        </is>
      </c>
      <c r="E19" s="2" t="inlineStr">
        <is>
          <t>Retail</t>
        </is>
      </c>
      <c r="F19" s="2" t="inlineStr">
        <is>
          <t>Office Chair</t>
        </is>
      </c>
      <c r="G19" s="2" t="inlineStr">
        <is>
          <t>Furniture</t>
        </is>
      </c>
      <c r="H19" s="2" t="n">
        <v>9</v>
      </c>
      <c r="I19" s="8" t="n">
        <v>155.34</v>
      </c>
      <c r="J19" s="9" t="n">
        <v>0.1</v>
      </c>
    </row>
    <row r="20">
      <c r="A20" s="2" t="inlineStr">
        <is>
          <t>S019</t>
        </is>
      </c>
      <c r="B20" s="7" t="n">
        <v>45769</v>
      </c>
      <c r="C20" s="2" t="inlineStr">
        <is>
          <t>East</t>
        </is>
      </c>
      <c r="D20" s="2" t="inlineStr">
        <is>
          <t>Kabir</t>
        </is>
      </c>
      <c r="E20" s="2" t="inlineStr">
        <is>
          <t>Online</t>
        </is>
      </c>
      <c r="F20" s="2" t="inlineStr">
        <is>
          <t xml:space="preserve">Headphones </t>
        </is>
      </c>
      <c r="G20" s="2" t="inlineStr">
        <is>
          <t>Furniture</t>
        </is>
      </c>
      <c r="H20" s="2" t="n">
        <v>8</v>
      </c>
      <c r="I20" s="8" t="n">
        <v>161.94</v>
      </c>
      <c r="J20" s="9" t="n">
        <v>0.05</v>
      </c>
    </row>
    <row r="21">
      <c r="A21" s="2" t="inlineStr">
        <is>
          <t>S020</t>
        </is>
      </c>
      <c r="B21" s="7" t="n">
        <v>45953</v>
      </c>
      <c r="C21" s="2" t="inlineStr">
        <is>
          <t>East</t>
        </is>
      </c>
      <c r="D21" s="2" t="inlineStr">
        <is>
          <t>Kabir</t>
        </is>
      </c>
      <c r="E21" s="2" t="inlineStr">
        <is>
          <t>Online</t>
        </is>
      </c>
      <c r="F21" s="2" t="inlineStr">
        <is>
          <t>Monitor</t>
        </is>
      </c>
      <c r="G21" s="2" t="inlineStr">
        <is>
          <t>Electronics</t>
        </is>
      </c>
      <c r="H21" s="2" t="n">
        <v>9</v>
      </c>
      <c r="I21" s="8" t="n">
        <v>215.63</v>
      </c>
      <c r="J21" s="9" t="n">
        <v>0.1</v>
      </c>
    </row>
    <row r="22">
      <c r="A22" s="2" t="inlineStr">
        <is>
          <t>S021</t>
        </is>
      </c>
      <c r="B22" s="7" t="n">
        <v>45942</v>
      </c>
      <c r="C22" s="2" t="inlineStr">
        <is>
          <t>South</t>
        </is>
      </c>
      <c r="D22" s="2" t="inlineStr">
        <is>
          <t>Ishaan</t>
        </is>
      </c>
      <c r="E22" s="2" t="inlineStr">
        <is>
          <t>Retail</t>
        </is>
      </c>
      <c r="F22" s="2" t="inlineStr">
        <is>
          <t>Office Chair</t>
        </is>
      </c>
      <c r="G22" s="2" t="inlineStr">
        <is>
          <t>Furniture</t>
        </is>
      </c>
      <c r="H22" s="2" t="n">
        <v>10</v>
      </c>
      <c r="I22" s="8" t="n">
        <v>152.13</v>
      </c>
      <c r="J22" s="9" t="n">
        <v>0.05</v>
      </c>
    </row>
    <row r="23">
      <c r="A23" s="2" t="inlineStr">
        <is>
          <t>S022</t>
        </is>
      </c>
      <c r="B23" s="7" t="n">
        <v>45840</v>
      </c>
      <c r="C23" s="2" t="inlineStr">
        <is>
          <t>North</t>
        </is>
      </c>
      <c r="D23" s="2" t="inlineStr">
        <is>
          <t>Diya</t>
        </is>
      </c>
      <c r="E23" s="2" t="inlineStr">
        <is>
          <t>Wholesale</t>
        </is>
      </c>
      <c r="F23" s="2" t="inlineStr">
        <is>
          <t>Water Bottle</t>
        </is>
      </c>
      <c r="G23" s="2" t="inlineStr">
        <is>
          <t>Accessories</t>
        </is>
      </c>
      <c r="H23" s="2" t="n">
        <v>10</v>
      </c>
      <c r="I23" s="8" t="n">
        <v>18.05</v>
      </c>
      <c r="J23" s="9" t="n">
        <v>0</v>
      </c>
    </row>
    <row r="24">
      <c r="A24" s="2" t="inlineStr">
        <is>
          <t>S023</t>
        </is>
      </c>
      <c r="B24" s="7" t="n">
        <v>46018</v>
      </c>
      <c r="C24" s="2" t="inlineStr">
        <is>
          <t>South</t>
        </is>
      </c>
      <c r="D24" s="2" t="inlineStr">
        <is>
          <t>Kabir</t>
        </is>
      </c>
      <c r="E24" s="2" t="inlineStr">
        <is>
          <t>Wholesale</t>
        </is>
      </c>
      <c r="F24" s="2" t="inlineStr">
        <is>
          <t>Backpack</t>
        </is>
      </c>
      <c r="G24" s="2" t="inlineStr">
        <is>
          <t>Accessories</t>
        </is>
      </c>
      <c r="H24" s="2" t="n">
        <v>3</v>
      </c>
      <c r="I24" s="8" t="n">
        <v>47.76</v>
      </c>
      <c r="J24" s="9" t="n">
        <v>0.1</v>
      </c>
    </row>
    <row r="25">
      <c r="A25" s="2" t="inlineStr">
        <is>
          <t>S024</t>
        </is>
      </c>
      <c r="B25" s="7" t="n">
        <v>45901</v>
      </c>
      <c r="C25" s="2" t="inlineStr">
        <is>
          <t>North</t>
        </is>
      </c>
      <c r="D25" s="2" t="inlineStr">
        <is>
          <t>Meera</t>
        </is>
      </c>
      <c r="E25" s="2" t="inlineStr">
        <is>
          <t>Retail</t>
        </is>
      </c>
      <c r="F25" s="2" t="inlineStr">
        <is>
          <t>Water Bottle</t>
        </is>
      </c>
      <c r="G25" s="2" t="inlineStr">
        <is>
          <t>Accessories</t>
        </is>
      </c>
      <c r="H25" s="2" t="n">
        <v>1</v>
      </c>
      <c r="I25" s="8" t="n">
        <v>17.4</v>
      </c>
      <c r="J25" s="9" t="n">
        <v>0.05</v>
      </c>
    </row>
    <row r="26">
      <c r="A26" s="2" t="inlineStr">
        <is>
          <t>S025</t>
        </is>
      </c>
      <c r="B26" s="7" t="n">
        <v>45826</v>
      </c>
      <c r="C26" s="2" t="inlineStr">
        <is>
          <t>North</t>
        </is>
      </c>
      <c r="D26" s="2" t="inlineStr">
        <is>
          <t>Aarav</t>
        </is>
      </c>
      <c r="E26" s="2" t="inlineStr">
        <is>
          <t>Online</t>
        </is>
      </c>
      <c r="F26" s="2" t="inlineStr">
        <is>
          <t>Office Chair</t>
        </is>
      </c>
      <c r="G26" s="2" t="inlineStr">
        <is>
          <t>Furniture</t>
        </is>
      </c>
      <c r="H26" s="2" t="n">
        <v>1</v>
      </c>
      <c r="I26" s="8" t="n">
        <v>146.29</v>
      </c>
      <c r="J26" s="9" t="n">
        <v>0.05</v>
      </c>
    </row>
    <row r="27">
      <c r="A27" s="2" t="inlineStr">
        <is>
          <t>S026</t>
        </is>
      </c>
      <c r="B27" s="7" t="n">
        <v>45899</v>
      </c>
      <c r="C27" s="2" t="inlineStr">
        <is>
          <t>North</t>
        </is>
      </c>
      <c r="D27" s="2" t="inlineStr">
        <is>
          <t>Aarav</t>
        </is>
      </c>
      <c r="E27" s="2" t="inlineStr">
        <is>
          <t>Retail</t>
        </is>
      </c>
      <c r="F27" s="2" t="inlineStr">
        <is>
          <t>Desk</t>
        </is>
      </c>
      <c r="G27" s="2" t="inlineStr">
        <is>
          <t>Furniture</t>
        </is>
      </c>
      <c r="H27" s="2" t="n">
        <v>10</v>
      </c>
      <c r="I27" s="8" t="n">
        <v>203.12</v>
      </c>
      <c r="J27" s="9" t="n">
        <v>0</v>
      </c>
    </row>
    <row r="28">
      <c r="A28" s="2" t="inlineStr">
        <is>
          <t>S027</t>
        </is>
      </c>
      <c r="B28" s="7" t="n">
        <v>45932</v>
      </c>
      <c r="C28" s="2" t="inlineStr">
        <is>
          <t>North</t>
        </is>
      </c>
      <c r="D28" s="2" t="inlineStr">
        <is>
          <t>Meera</t>
        </is>
      </c>
      <c r="E28" s="2" t="inlineStr">
        <is>
          <t>Online</t>
        </is>
      </c>
      <c r="F28" s="2" t="inlineStr">
        <is>
          <t>Office Chair</t>
        </is>
      </c>
      <c r="G28" s="2" t="inlineStr">
        <is>
          <t>Furniture</t>
        </is>
      </c>
      <c r="H28" s="2" t="n">
        <v>11</v>
      </c>
      <c r="I28" s="8" t="n">
        <v>162.61</v>
      </c>
      <c r="J28" s="9" t="n">
        <v>0</v>
      </c>
    </row>
    <row r="29">
      <c r="A29" s="2" t="inlineStr">
        <is>
          <t>S028</t>
        </is>
      </c>
      <c r="B29" s="7" t="n">
        <v>45934</v>
      </c>
      <c r="C29" s="2" t="inlineStr">
        <is>
          <t>East</t>
        </is>
      </c>
      <c r="D29" s="2" t="inlineStr">
        <is>
          <t>Ishaan</t>
        </is>
      </c>
      <c r="E29" s="2" t="inlineStr">
        <is>
          <t>Wholesale</t>
        </is>
      </c>
      <c r="F29" s="2" t="inlineStr">
        <is>
          <t>Laptop</t>
        </is>
      </c>
      <c r="G29" s="2" t="inlineStr">
        <is>
          <t>Electronics</t>
        </is>
      </c>
      <c r="I29" s="8" t="n">
        <v>821.72</v>
      </c>
      <c r="J29" s="9" t="n">
        <v>0.15</v>
      </c>
    </row>
    <row r="30">
      <c r="A30" s="2" t="inlineStr">
        <is>
          <t>S029</t>
        </is>
      </c>
      <c r="B30" s="7" t="n">
        <v>45955</v>
      </c>
      <c r="C30" s="2" t="inlineStr">
        <is>
          <t>East</t>
        </is>
      </c>
      <c r="D30" s="2" t="inlineStr">
        <is>
          <t>Aarav</t>
        </is>
      </c>
      <c r="E30" s="2" t="inlineStr">
        <is>
          <t>Wholesale</t>
        </is>
      </c>
      <c r="F30" s="2" t="inlineStr">
        <is>
          <t>Pen Set</t>
        </is>
      </c>
      <c r="G30" s="2" t="inlineStr">
        <is>
          <t>Stationery</t>
        </is>
      </c>
      <c r="H30" s="2" t="n">
        <v>7</v>
      </c>
      <c r="I30" s="8" t="n">
        <v>7.03</v>
      </c>
      <c r="J30" s="9" t="n">
        <v>0</v>
      </c>
    </row>
    <row r="31">
      <c r="A31" s="2" t="inlineStr">
        <is>
          <t>S030</t>
        </is>
      </c>
      <c r="B31" s="7" t="n">
        <v>45675</v>
      </c>
      <c r="C31" s="2" t="inlineStr">
        <is>
          <t>South</t>
        </is>
      </c>
      <c r="D31" s="2" t="inlineStr">
        <is>
          <t>Kabir</t>
        </is>
      </c>
      <c r="E31" s="2" t="inlineStr">
        <is>
          <t>Online</t>
        </is>
      </c>
      <c r="F31" s="2" t="inlineStr">
        <is>
          <t>Desk</t>
        </is>
      </c>
      <c r="G31" s="2" t="inlineStr">
        <is>
          <t>Furniture</t>
        </is>
      </c>
      <c r="H31" s="2" t="n">
        <v>6</v>
      </c>
      <c r="I31" s="8" t="n">
        <v>179.82</v>
      </c>
      <c r="J31" s="9" t="n">
        <v>0.05</v>
      </c>
    </row>
    <row r="32">
      <c r="A32" s="2" t="inlineStr">
        <is>
          <t>S031</t>
        </is>
      </c>
      <c r="B32" s="7" t="n">
        <v>45911</v>
      </c>
      <c r="C32" s="2" t="inlineStr">
        <is>
          <t>North</t>
        </is>
      </c>
      <c r="D32" s="2" t="inlineStr">
        <is>
          <t>Ananya</t>
        </is>
      </c>
      <c r="E32" s="2" t="inlineStr">
        <is>
          <t>Retail</t>
        </is>
      </c>
      <c r="F32" s="2" t="inlineStr">
        <is>
          <t>Desk</t>
        </is>
      </c>
      <c r="G32" s="2" t="inlineStr">
        <is>
          <t>Furniture</t>
        </is>
      </c>
      <c r="H32" s="2" t="n">
        <v>8</v>
      </c>
      <c r="I32" s="8" t="n">
        <v>183.48</v>
      </c>
      <c r="J32" s="9" t="n">
        <v>0</v>
      </c>
    </row>
    <row r="33">
      <c r="A33" s="2" t="inlineStr">
        <is>
          <t>S032</t>
        </is>
      </c>
      <c r="B33" s="7" t="n">
        <v>45816</v>
      </c>
      <c r="C33" s="2" t="inlineStr">
        <is>
          <t>South</t>
        </is>
      </c>
      <c r="D33" s="2" t="inlineStr">
        <is>
          <t>Ishaan</t>
        </is>
      </c>
      <c r="E33" s="2" t="inlineStr">
        <is>
          <t>Online</t>
        </is>
      </c>
      <c r="F33" s="2" t="inlineStr">
        <is>
          <t>Office Chair</t>
        </is>
      </c>
      <c r="G33" s="2" t="inlineStr">
        <is>
          <t>Furniture</t>
        </is>
      </c>
      <c r="H33" s="2" t="n">
        <v>8</v>
      </c>
      <c r="I33" s="8" t="n">
        <v>146.93</v>
      </c>
      <c r="J33" s="9" t="n">
        <v>0.05</v>
      </c>
    </row>
    <row r="34">
      <c r="A34" s="2" t="inlineStr">
        <is>
          <t>S033</t>
        </is>
      </c>
      <c r="B34" s="7" t="n">
        <v>45881</v>
      </c>
      <c r="C34" s="2" t="inlineStr">
        <is>
          <t>South</t>
        </is>
      </c>
      <c r="D34" s="2" t="inlineStr">
        <is>
          <t>Ananya</t>
        </is>
      </c>
      <c r="E34" s="2" t="inlineStr">
        <is>
          <t>Wholesale</t>
        </is>
      </c>
      <c r="F34" s="2" t="inlineStr">
        <is>
          <t>Water Bottle</t>
        </is>
      </c>
      <c r="G34" s="2" t="inlineStr">
        <is>
          <t>Accessories</t>
        </is>
      </c>
      <c r="H34" s="2" t="n">
        <v>9</v>
      </c>
      <c r="I34" s="8" t="n">
        <v>18.71</v>
      </c>
      <c r="J34" s="9" t="n">
        <v>0.1</v>
      </c>
    </row>
    <row r="35">
      <c r="A35" s="2" t="inlineStr">
        <is>
          <t>S034</t>
        </is>
      </c>
      <c r="B35" s="7" t="n">
        <v>45731</v>
      </c>
      <c r="C35" s="2" t="inlineStr">
        <is>
          <t>West</t>
        </is>
      </c>
      <c r="D35" s="2" t="inlineStr">
        <is>
          <t>Ishaan</t>
        </is>
      </c>
      <c r="E35" s="2" t="inlineStr">
        <is>
          <t>Retail</t>
        </is>
      </c>
      <c r="F35" s="2" t="inlineStr">
        <is>
          <t>Keyboard</t>
        </is>
      </c>
      <c r="G35" s="2" t="inlineStr">
        <is>
          <t>Electronics</t>
        </is>
      </c>
      <c r="H35" s="2" t="n">
        <v>10</v>
      </c>
      <c r="I35" s="8" t="n">
        <v>44.56</v>
      </c>
      <c r="J35" s="9" t="n">
        <v>0.15</v>
      </c>
    </row>
    <row r="36">
      <c r="A36" s="2" t="inlineStr">
        <is>
          <t>S035</t>
        </is>
      </c>
      <c r="B36" s="7" t="n">
        <v>45691</v>
      </c>
      <c r="C36" s="2" t="inlineStr">
        <is>
          <t>South</t>
        </is>
      </c>
      <c r="D36" s="2" t="inlineStr">
        <is>
          <t>Diya</t>
        </is>
      </c>
      <c r="E36" s="2" t="inlineStr">
        <is>
          <t>Retail</t>
        </is>
      </c>
      <c r="F36" s="2" t="inlineStr">
        <is>
          <t>Monitor</t>
        </is>
      </c>
      <c r="G36" s="2" t="inlineStr">
        <is>
          <t>Electronics</t>
        </is>
      </c>
      <c r="H36" s="2" t="n">
        <v>4</v>
      </c>
      <c r="I36" s="8" t="n">
        <v>242.95</v>
      </c>
      <c r="J36" s="9" t="n">
        <v>0</v>
      </c>
    </row>
    <row r="37">
      <c r="A37" s="2" t="inlineStr">
        <is>
          <t>S036</t>
        </is>
      </c>
      <c r="B37" s="7" t="n">
        <v>45938</v>
      </c>
      <c r="C37" s="2" t="inlineStr">
        <is>
          <t>South</t>
        </is>
      </c>
      <c r="D37" s="2" t="inlineStr">
        <is>
          <t>Ishaan</t>
        </is>
      </c>
      <c r="E37" s="2" t="inlineStr">
        <is>
          <t>Online</t>
        </is>
      </c>
      <c r="F37" s="2" t="inlineStr">
        <is>
          <t>Notebook Pack</t>
        </is>
      </c>
      <c r="G37" s="2" t="inlineStr">
        <is>
          <t>Stationery</t>
        </is>
      </c>
      <c r="H37" s="2" t="n">
        <v>9</v>
      </c>
      <c r="I37" s="8" t="inlineStr">
        <is>
          <t xml:space="preserve"> </t>
        </is>
      </c>
      <c r="J37" s="9" t="n">
        <v>0.1</v>
      </c>
    </row>
    <row r="38">
      <c r="A38" s="2" t="inlineStr">
        <is>
          <t>S037</t>
        </is>
      </c>
      <c r="B38" s="7" t="n">
        <v>45911</v>
      </c>
      <c r="C38" s="2" t="inlineStr">
        <is>
          <t>North</t>
        </is>
      </c>
      <c r="D38" s="2" t="inlineStr">
        <is>
          <t>Ishaan</t>
        </is>
      </c>
      <c r="E38" s="2" t="inlineStr">
        <is>
          <t>Retail</t>
        </is>
      </c>
      <c r="F38" s="2" t="inlineStr">
        <is>
          <t>Desk</t>
        </is>
      </c>
      <c r="G38" s="2" t="inlineStr">
        <is>
          <t>Furniture</t>
        </is>
      </c>
      <c r="H38" s="2" t="n">
        <v>9</v>
      </c>
      <c r="I38" s="8" t="n">
        <v>186.61</v>
      </c>
      <c r="J38" s="9" t="n">
        <v>0</v>
      </c>
    </row>
    <row r="39">
      <c r="A39" s="2" t="inlineStr">
        <is>
          <t>S038</t>
        </is>
      </c>
      <c r="B39" s="7" t="n">
        <v>45697</v>
      </c>
      <c r="C39" s="2" t="inlineStr">
        <is>
          <t>South</t>
        </is>
      </c>
      <c r="D39" s="2" t="inlineStr">
        <is>
          <t>Aarav</t>
        </is>
      </c>
      <c r="E39" s="2" t="inlineStr">
        <is>
          <t>Retail</t>
        </is>
      </c>
      <c r="F39" s="2" t="inlineStr">
        <is>
          <t>Pen Set</t>
        </is>
      </c>
      <c r="G39" s="2" t="inlineStr">
        <is>
          <t>Stationery</t>
        </is>
      </c>
      <c r="H39" s="2" t="n">
        <v>2</v>
      </c>
      <c r="I39" s="8" t="n">
        <v>6.88</v>
      </c>
      <c r="J39" s="9" t="n">
        <v>0.15</v>
      </c>
    </row>
    <row r="40">
      <c r="A40" s="2" t="inlineStr">
        <is>
          <t>S039</t>
        </is>
      </c>
      <c r="B40" s="7" t="n">
        <v>45695</v>
      </c>
      <c r="C40" s="2" t="inlineStr">
        <is>
          <t>South</t>
        </is>
      </c>
      <c r="D40" s="2" t="inlineStr">
        <is>
          <t>Ananya</t>
        </is>
      </c>
      <c r="E40" s="2" t="inlineStr">
        <is>
          <t>Retail</t>
        </is>
      </c>
      <c r="F40" s="2" t="inlineStr">
        <is>
          <t>Desk</t>
        </is>
      </c>
      <c r="G40" s="2" t="inlineStr">
        <is>
          <t>Furniture</t>
        </is>
      </c>
      <c r="H40" s="2" t="n">
        <v>6</v>
      </c>
      <c r="I40" s="8" t="n">
        <v>185.25</v>
      </c>
      <c r="J40" s="9" t="n">
        <v>0.1</v>
      </c>
    </row>
    <row r="41">
      <c r="A41" s="2" t="inlineStr">
        <is>
          <t>S040</t>
        </is>
      </c>
      <c r="B41" s="7" t="n">
        <v>45815</v>
      </c>
      <c r="C41" s="2" t="inlineStr">
        <is>
          <t>South</t>
        </is>
      </c>
      <c r="D41" s="2" t="inlineStr">
        <is>
          <t>Meera</t>
        </is>
      </c>
      <c r="E41" s="2" t="inlineStr">
        <is>
          <t>Online</t>
        </is>
      </c>
      <c r="F41" s="2" t="inlineStr">
        <is>
          <t>Pen Set</t>
        </is>
      </c>
      <c r="G41" s="2" t="inlineStr">
        <is>
          <t>Stationery</t>
        </is>
      </c>
      <c r="H41" s="2" t="n">
        <v>6</v>
      </c>
      <c r="I41" s="8" t="n">
        <v>7.01</v>
      </c>
      <c r="J41" s="9" t="n">
        <v>0.15</v>
      </c>
    </row>
    <row r="42">
      <c r="A42" s="2" t="inlineStr">
        <is>
          <t>S041</t>
        </is>
      </c>
      <c r="B42" s="7" t="n">
        <v>45992</v>
      </c>
      <c r="C42" s="2" t="inlineStr">
        <is>
          <t>East</t>
        </is>
      </c>
      <c r="D42" s="2" t="inlineStr">
        <is>
          <t>Ananya</t>
        </is>
      </c>
      <c r="E42" s="2" t="inlineStr">
        <is>
          <t>Retail</t>
        </is>
      </c>
      <c r="F42" s="2" t="inlineStr">
        <is>
          <t>Desk</t>
        </is>
      </c>
      <c r="G42" s="2" t="inlineStr">
        <is>
          <t>Furniture</t>
        </is>
      </c>
      <c r="H42" s="2" t="n">
        <v>4</v>
      </c>
      <c r="I42" s="8" t="n">
        <v>182.37</v>
      </c>
      <c r="J42" s="9" t="n">
        <v>0</v>
      </c>
    </row>
    <row r="43">
      <c r="A43" s="2" t="inlineStr">
        <is>
          <t>S042</t>
        </is>
      </c>
      <c r="B43" s="7" t="n">
        <v>45850</v>
      </c>
      <c r="C43" s="2" t="inlineStr">
        <is>
          <t>South</t>
        </is>
      </c>
      <c r="D43" s="2" t="inlineStr">
        <is>
          <t>Ishaan</t>
        </is>
      </c>
      <c r="E43" s="2" t="inlineStr">
        <is>
          <t>Online</t>
        </is>
      </c>
      <c r="F43" s="2" t="inlineStr">
        <is>
          <t>Desk</t>
        </is>
      </c>
      <c r="G43" s="2" t="inlineStr">
        <is>
          <t>Furniture</t>
        </is>
      </c>
      <c r="H43" s="2" t="n">
        <v>2</v>
      </c>
      <c r="I43" s="8" t="n">
        <v>187.46</v>
      </c>
      <c r="J43" s="9" t="n">
        <v>0.05</v>
      </c>
    </row>
    <row r="44">
      <c r="A44" s="2" t="inlineStr">
        <is>
          <t>S043</t>
        </is>
      </c>
      <c r="B44" s="7" t="n">
        <v>45676</v>
      </c>
      <c r="C44" s="2" t="inlineStr">
        <is>
          <t>West</t>
        </is>
      </c>
      <c r="D44" s="2" t="inlineStr">
        <is>
          <t>Meera</t>
        </is>
      </c>
      <c r="E44" s="2" t="inlineStr">
        <is>
          <t>Retail</t>
        </is>
      </c>
      <c r="F44" s="2" t="inlineStr">
        <is>
          <t>Monitor</t>
        </is>
      </c>
      <c r="G44" s="2" t="inlineStr">
        <is>
          <t>Electronics</t>
        </is>
      </c>
      <c r="H44" s="2" t="n">
        <v>10</v>
      </c>
      <c r="I44" s="8" t="n">
        <v>225.24</v>
      </c>
      <c r="J44" s="9" t="n">
        <v>0</v>
      </c>
    </row>
    <row r="45">
      <c r="A45" s="2" t="inlineStr">
        <is>
          <t>S044</t>
        </is>
      </c>
      <c r="B45" s="7" t="n">
        <v>45970</v>
      </c>
      <c r="C45" s="2" t="inlineStr">
        <is>
          <t>South</t>
        </is>
      </c>
      <c r="D45" s="2" t="inlineStr">
        <is>
          <t>Meera</t>
        </is>
      </c>
      <c r="E45" s="2" t="inlineStr">
        <is>
          <t>Online</t>
        </is>
      </c>
      <c r="F45" s="2" t="inlineStr">
        <is>
          <t>Desk</t>
        </is>
      </c>
      <c r="G45" s="2" t="inlineStr">
        <is>
          <t>Furniture</t>
        </is>
      </c>
      <c r="H45" s="2" t="n">
        <v>12</v>
      </c>
      <c r="I45" s="8" t="n">
        <v>188.65</v>
      </c>
      <c r="J45" s="9" t="n">
        <v>0.05</v>
      </c>
    </row>
    <row r="46">
      <c r="A46" s="2" t="inlineStr">
        <is>
          <t>S045</t>
        </is>
      </c>
      <c r="B46" s="7" t="n">
        <v>45754</v>
      </c>
      <c r="C46" s="2" t="inlineStr">
        <is>
          <t>West</t>
        </is>
      </c>
      <c r="D46" s="2" t="inlineStr">
        <is>
          <t>Aarav</t>
        </is>
      </c>
      <c r="E46" s="2" t="inlineStr">
        <is>
          <t>Retail</t>
        </is>
      </c>
      <c r="F46" s="2" t="inlineStr">
        <is>
          <t>Office Chair</t>
        </is>
      </c>
      <c r="G46" s="2" t="inlineStr">
        <is>
          <t>Furniture</t>
        </is>
      </c>
      <c r="H46" s="2" t="n">
        <v>6</v>
      </c>
      <c r="I46" s="8" t="n">
        <v>149.14</v>
      </c>
      <c r="J46" s="9" t="n">
        <v>0</v>
      </c>
    </row>
    <row r="47">
      <c r="A47" s="2" t="inlineStr">
        <is>
          <t>S046</t>
        </is>
      </c>
      <c r="B47" s="7" t="n">
        <v>45995</v>
      </c>
      <c r="C47" s="2" t="inlineStr">
        <is>
          <t>West</t>
        </is>
      </c>
      <c r="D47" s="2" t="inlineStr">
        <is>
          <t>Ananya</t>
        </is>
      </c>
      <c r="E47" s="2" t="inlineStr">
        <is>
          <t>Retail</t>
        </is>
      </c>
      <c r="F47" s="2" t="inlineStr">
        <is>
          <t>Office Chair</t>
        </is>
      </c>
      <c r="G47" s="2" t="inlineStr">
        <is>
          <t>Furniture</t>
        </is>
      </c>
      <c r="H47" s="2" t="n">
        <v>6</v>
      </c>
      <c r="I47" s="8" t="n">
        <v>161.12</v>
      </c>
      <c r="J47" s="9" t="n">
        <v>0.15</v>
      </c>
    </row>
    <row r="48">
      <c r="A48" s="2" t="inlineStr">
        <is>
          <t>S047</t>
        </is>
      </c>
      <c r="B48" s="7" t="n">
        <v>45988</v>
      </c>
      <c r="C48" s="2" t="inlineStr">
        <is>
          <t>West</t>
        </is>
      </c>
      <c r="D48" s="2" t="inlineStr">
        <is>
          <t>Diya</t>
        </is>
      </c>
      <c r="E48" s="2" t="inlineStr">
        <is>
          <t>Wholesale</t>
        </is>
      </c>
      <c r="F48" s="2" t="inlineStr">
        <is>
          <t>Headphones</t>
        </is>
      </c>
      <c r="G48" s="2" t="inlineStr">
        <is>
          <t>Electronics</t>
        </is>
      </c>
      <c r="H48" s="2" t="n">
        <v>3</v>
      </c>
      <c r="I48" s="8" t="n">
        <v>57.91</v>
      </c>
      <c r="J48" s="9" t="n">
        <v>0</v>
      </c>
    </row>
    <row r="49">
      <c r="A49" s="2" t="inlineStr">
        <is>
          <t>S048</t>
        </is>
      </c>
      <c r="B49" s="7" t="n">
        <v>45863</v>
      </c>
      <c r="C49" s="2" t="inlineStr">
        <is>
          <t>South</t>
        </is>
      </c>
      <c r="D49" s="2" t="inlineStr">
        <is>
          <t>Ishaan</t>
        </is>
      </c>
      <c r="E49" s="2" t="inlineStr">
        <is>
          <t>Retail</t>
        </is>
      </c>
      <c r="F49" s="2" t="inlineStr">
        <is>
          <t>Pen Set</t>
        </is>
      </c>
      <c r="G49" s="2" t="inlineStr">
        <is>
          <t>Stationery</t>
        </is>
      </c>
      <c r="H49" s="2" t="n">
        <v>8</v>
      </c>
      <c r="I49" s="8" t="n">
        <v>7.34</v>
      </c>
      <c r="J49" s="9" t="n">
        <v>0.05</v>
      </c>
    </row>
    <row r="50">
      <c r="A50" s="2" t="inlineStr">
        <is>
          <t>S049</t>
        </is>
      </c>
      <c r="B50" s="7" t="n">
        <v>45767</v>
      </c>
      <c r="C50" s="2" t="inlineStr">
        <is>
          <t>West</t>
        </is>
      </c>
      <c r="D50" s="2" t="inlineStr">
        <is>
          <t>Ananya</t>
        </is>
      </c>
      <c r="E50" s="2" t="inlineStr">
        <is>
          <t>Retail</t>
        </is>
      </c>
      <c r="F50" s="2" t="inlineStr">
        <is>
          <t>Keyboard</t>
        </is>
      </c>
      <c r="G50" s="2" t="inlineStr">
        <is>
          <t>Electronics</t>
        </is>
      </c>
      <c r="H50" s="2" t="n">
        <v>8</v>
      </c>
      <c r="I50" s="8" t="n">
        <v>41.84</v>
      </c>
      <c r="J50" s="9" t="n">
        <v>0</v>
      </c>
    </row>
    <row r="51">
      <c r="A51" s="2" t="inlineStr">
        <is>
          <t>S050</t>
        </is>
      </c>
      <c r="B51" s="7" t="n">
        <v>45708</v>
      </c>
      <c r="C51" s="2" t="inlineStr">
        <is>
          <t>South</t>
        </is>
      </c>
      <c r="D51" s="2" t="inlineStr">
        <is>
          <t xml:space="preserve">Meera </t>
        </is>
      </c>
      <c r="E51" s="2" t="inlineStr">
        <is>
          <t>Online</t>
        </is>
      </c>
      <c r="F51" s="2" t="inlineStr">
        <is>
          <t>Keyboard</t>
        </is>
      </c>
      <c r="G51" s="2" t="inlineStr">
        <is>
          <t>Electronics</t>
        </is>
      </c>
      <c r="H51" s="2" t="n">
        <v>8</v>
      </c>
      <c r="I51" s="8" t="n">
        <v>40.62</v>
      </c>
      <c r="J51" s="9" t="n">
        <v>0</v>
      </c>
    </row>
    <row r="52">
      <c r="A52" s="2" t="inlineStr">
        <is>
          <t>S051</t>
        </is>
      </c>
      <c r="B52" s="7" t="n">
        <v>45789</v>
      </c>
      <c r="C52" s="2" t="inlineStr">
        <is>
          <t>North</t>
        </is>
      </c>
      <c r="D52" s="2" t="inlineStr">
        <is>
          <t>Aarav</t>
        </is>
      </c>
      <c r="E52" s="2" t="inlineStr">
        <is>
          <t>Retail</t>
        </is>
      </c>
      <c r="F52" s="2" t="inlineStr">
        <is>
          <t>Keyboard</t>
        </is>
      </c>
      <c r="G52" s="2" t="inlineStr">
        <is>
          <t>Electronics</t>
        </is>
      </c>
      <c r="H52" s="2" t="n">
        <v>1</v>
      </c>
      <c r="I52" s="8" t="n">
        <v>40.77</v>
      </c>
      <c r="J52" s="9" t="n">
        <v>0</v>
      </c>
    </row>
    <row r="53">
      <c r="A53" s="2" t="inlineStr">
        <is>
          <t>S052</t>
        </is>
      </c>
      <c r="B53" s="7" t="n">
        <v>45971</v>
      </c>
      <c r="C53" s="2" t="inlineStr">
        <is>
          <t>East</t>
        </is>
      </c>
      <c r="D53" s="2" t="inlineStr">
        <is>
          <t>Kabir</t>
        </is>
      </c>
      <c r="E53" s="2" t="inlineStr">
        <is>
          <t>Online</t>
        </is>
      </c>
      <c r="F53" s="2" t="inlineStr">
        <is>
          <t>Desk</t>
        </is>
      </c>
      <c r="G53" s="2" t="inlineStr">
        <is>
          <t>Furniture</t>
        </is>
      </c>
      <c r="H53" s="2" t="n">
        <v>9</v>
      </c>
      <c r="I53" s="8" t="n">
        <v>193.92</v>
      </c>
      <c r="J53" s="9" t="n">
        <v>0.05</v>
      </c>
    </row>
    <row r="54">
      <c r="A54" s="2" t="inlineStr">
        <is>
          <t>S053</t>
        </is>
      </c>
      <c r="B54" s="7" t="n">
        <v>45989</v>
      </c>
      <c r="C54" s="2" t="inlineStr">
        <is>
          <t>North</t>
        </is>
      </c>
      <c r="D54" s="2" t="inlineStr">
        <is>
          <t>Ananya</t>
        </is>
      </c>
      <c r="E54" s="2" t="inlineStr">
        <is>
          <t>Online</t>
        </is>
      </c>
      <c r="F54" s="2" t="inlineStr">
        <is>
          <t>Laptop</t>
        </is>
      </c>
      <c r="G54" s="2" t="inlineStr">
        <is>
          <t>Electronics</t>
        </is>
      </c>
      <c r="H54" s="2" t="n">
        <v>12</v>
      </c>
      <c r="I54" s="8" t="n">
        <v>824.41</v>
      </c>
      <c r="J54" s="9" t="n">
        <v>0.15</v>
      </c>
    </row>
    <row r="55">
      <c r="A55" s="2" t="inlineStr">
        <is>
          <t>S054</t>
        </is>
      </c>
      <c r="B55" s="7" t="n">
        <v>45798</v>
      </c>
      <c r="C55" s="2" t="inlineStr">
        <is>
          <t>South</t>
        </is>
      </c>
      <c r="D55" s="2" t="inlineStr">
        <is>
          <t>Kabir</t>
        </is>
      </c>
      <c r="E55" s="2" t="inlineStr">
        <is>
          <t>Online</t>
        </is>
      </c>
      <c r="F55" s="2" t="inlineStr">
        <is>
          <t>Desk</t>
        </is>
      </c>
      <c r="G55" s="2" t="inlineStr">
        <is>
          <t>Furniture</t>
        </is>
      </c>
      <c r="H55" s="2" t="n">
        <v>10</v>
      </c>
      <c r="I55" s="8" t="n">
        <v>200.66</v>
      </c>
      <c r="J55" s="9" t="n">
        <v>0.05</v>
      </c>
    </row>
    <row r="56">
      <c r="A56" s="2" t="inlineStr">
        <is>
          <t>S055</t>
        </is>
      </c>
      <c r="B56" s="7" t="n">
        <v>45680</v>
      </c>
      <c r="C56" s="2" t="inlineStr">
        <is>
          <t>West</t>
        </is>
      </c>
      <c r="D56" s="2" t="inlineStr">
        <is>
          <t>Ishaan</t>
        </is>
      </c>
      <c r="E56" s="2" t="inlineStr">
        <is>
          <t>Online</t>
        </is>
      </c>
      <c r="F56" s="2" t="inlineStr">
        <is>
          <t>Notebook Pack</t>
        </is>
      </c>
      <c r="G56" s="2" t="inlineStr">
        <is>
          <t>Stationery</t>
        </is>
      </c>
      <c r="H56" s="2" t="n">
        <v>6</v>
      </c>
      <c r="I56" s="8" t="n">
        <v>8.93</v>
      </c>
      <c r="J56" s="9" t="n">
        <v>0.1</v>
      </c>
    </row>
    <row r="57">
      <c r="A57" s="2" t="inlineStr">
        <is>
          <t>S056</t>
        </is>
      </c>
      <c r="B57" s="7" t="n">
        <v>45662</v>
      </c>
      <c r="C57" s="2" t="inlineStr">
        <is>
          <t>South</t>
        </is>
      </c>
      <c r="D57" s="2" t="inlineStr">
        <is>
          <t>Meera</t>
        </is>
      </c>
      <c r="E57" s="2" t="inlineStr">
        <is>
          <t>Online</t>
        </is>
      </c>
      <c r="F57" s="2" t="inlineStr">
        <is>
          <t>Monitor</t>
        </is>
      </c>
      <c r="G57" s="2" t="inlineStr">
        <is>
          <t>Electronics</t>
        </is>
      </c>
      <c r="H57" s="2" t="n">
        <v>2</v>
      </c>
      <c r="I57" s="8" t="n">
        <v>230.6</v>
      </c>
      <c r="J57" s="9" t="n">
        <v>0.05</v>
      </c>
    </row>
    <row r="58">
      <c r="A58" s="2" t="inlineStr">
        <is>
          <t>S057</t>
        </is>
      </c>
      <c r="B58" s="7" t="n">
        <v>45970</v>
      </c>
      <c r="C58" s="2" t="inlineStr">
        <is>
          <t>North</t>
        </is>
      </c>
      <c r="D58" s="2" t="inlineStr">
        <is>
          <t>Ananya</t>
        </is>
      </c>
      <c r="E58" s="2" t="inlineStr">
        <is>
          <t>Wholesale</t>
        </is>
      </c>
      <c r="F58" s="2" t="inlineStr">
        <is>
          <t>Backpack</t>
        </is>
      </c>
      <c r="G58" s="2" t="inlineStr">
        <is>
          <t>Accessories</t>
        </is>
      </c>
      <c r="H58" s="2" t="n">
        <v>2</v>
      </c>
      <c r="I58" s="8" t="n">
        <v>49.44</v>
      </c>
      <c r="J58" s="9" t="n">
        <v>0</v>
      </c>
    </row>
    <row r="59">
      <c r="A59" s="2" t="inlineStr">
        <is>
          <t>S058</t>
        </is>
      </c>
      <c r="B59" s="7" t="n">
        <v>45894</v>
      </c>
      <c r="C59" s="2" t="inlineStr">
        <is>
          <t>West</t>
        </is>
      </c>
      <c r="D59" s="2" t="inlineStr">
        <is>
          <t>Aarav</t>
        </is>
      </c>
      <c r="E59" s="2" t="inlineStr">
        <is>
          <t>Wholesale</t>
        </is>
      </c>
      <c r="F59" s="2" t="inlineStr">
        <is>
          <t>Keyboard</t>
        </is>
      </c>
      <c r="G59" s="2" t="inlineStr">
        <is>
          <t>Electronics</t>
        </is>
      </c>
      <c r="H59" s="2" t="n">
        <v>11</v>
      </c>
      <c r="I59" s="8" t="n">
        <v>42.28</v>
      </c>
      <c r="J59" s="9" t="n">
        <v>0</v>
      </c>
    </row>
    <row r="60">
      <c r="A60" s="2" t="inlineStr">
        <is>
          <t>S059</t>
        </is>
      </c>
      <c r="B60" s="7" t="n">
        <v>45795</v>
      </c>
      <c r="C60" s="2" t="inlineStr">
        <is>
          <t>South</t>
        </is>
      </c>
      <c r="D60" s="2" t="inlineStr">
        <is>
          <t>Meera</t>
        </is>
      </c>
      <c r="E60" s="2" t="inlineStr">
        <is>
          <t>Online</t>
        </is>
      </c>
      <c r="F60" s="2" t="inlineStr">
        <is>
          <t>Laptop</t>
        </is>
      </c>
      <c r="G60" s="2" t="inlineStr">
        <is>
          <t>Electronics</t>
        </is>
      </c>
      <c r="H60" s="2" t="n">
        <v>10</v>
      </c>
      <c r="I60" s="8" t="n">
        <v>882.54</v>
      </c>
      <c r="J60" s="9" t="n">
        <v>0</v>
      </c>
    </row>
    <row r="61">
      <c r="A61" s="2" t="inlineStr">
        <is>
          <t>S060</t>
        </is>
      </c>
      <c r="B61" s="7" t="n">
        <v>45816</v>
      </c>
      <c r="C61" s="2" t="inlineStr">
        <is>
          <t>south</t>
        </is>
      </c>
      <c r="D61" s="2" t="inlineStr">
        <is>
          <t>Meera</t>
        </is>
      </c>
      <c r="E61" s="2" t="inlineStr">
        <is>
          <t>Online</t>
        </is>
      </c>
      <c r="F61" s="2" t="inlineStr">
        <is>
          <t>Desk</t>
        </is>
      </c>
      <c r="G61" s="2" t="inlineStr">
        <is>
          <t>Furniture</t>
        </is>
      </c>
      <c r="H61" s="2" t="n">
        <v>5</v>
      </c>
      <c r="I61" s="8" t="n">
        <v>185.5</v>
      </c>
      <c r="J61" s="9" t="n">
        <v>0.15</v>
      </c>
    </row>
    <row r="62">
      <c r="A62" s="2" t="inlineStr">
        <is>
          <t>S061</t>
        </is>
      </c>
      <c r="B62" s="7" t="n">
        <v>45854</v>
      </c>
      <c r="C62" s="2" t="inlineStr">
        <is>
          <t>East</t>
        </is>
      </c>
      <c r="D62" s="2" t="inlineStr">
        <is>
          <t>Kabir</t>
        </is>
      </c>
      <c r="E62" s="2" t="inlineStr">
        <is>
          <t>Retail</t>
        </is>
      </c>
      <c r="F62" s="2" t="inlineStr">
        <is>
          <t>Laptop</t>
        </is>
      </c>
      <c r="G62" s="2" t="inlineStr">
        <is>
          <t>Electronics</t>
        </is>
      </c>
      <c r="H62" s="2" t="n">
        <v>11</v>
      </c>
      <c r="I62" s="8" t="n">
        <v>802.86</v>
      </c>
      <c r="J62" s="9" t="n">
        <v>0.1</v>
      </c>
    </row>
    <row r="63">
      <c r="A63" s="2" t="inlineStr">
        <is>
          <t>S062</t>
        </is>
      </c>
      <c r="B63" s="7" t="n">
        <v>45893</v>
      </c>
      <c r="C63" s="2" t="inlineStr">
        <is>
          <t>West</t>
        </is>
      </c>
      <c r="D63" s="2" t="inlineStr">
        <is>
          <t>Ishaan</t>
        </is>
      </c>
      <c r="E63" s="2" t="inlineStr">
        <is>
          <t>Wholesale</t>
        </is>
      </c>
      <c r="F63" s="2" t="inlineStr">
        <is>
          <t>Laptop</t>
        </is>
      </c>
      <c r="G63" s="2" t="inlineStr">
        <is>
          <t>Electronics</t>
        </is>
      </c>
      <c r="H63" s="2" t="n">
        <v>8</v>
      </c>
      <c r="I63" s="8" t="n">
        <v>854.0700000000001</v>
      </c>
      <c r="J63" s="9" t="n">
        <v>0</v>
      </c>
    </row>
    <row r="64">
      <c r="A64" s="2" t="inlineStr">
        <is>
          <t>S063</t>
        </is>
      </c>
      <c r="B64" s="7" t="n">
        <v>45720</v>
      </c>
      <c r="C64" s="2" t="inlineStr">
        <is>
          <t>North</t>
        </is>
      </c>
      <c r="D64" s="2" t="inlineStr">
        <is>
          <t>Ananya</t>
        </is>
      </c>
      <c r="E64" s="2" t="inlineStr">
        <is>
          <t>Retail</t>
        </is>
      </c>
      <c r="F64" s="2" t="inlineStr">
        <is>
          <t>Monitor</t>
        </is>
      </c>
      <c r="G64" s="2" t="inlineStr">
        <is>
          <t>Electronics</t>
        </is>
      </c>
      <c r="H64" s="2" t="n">
        <v>11</v>
      </c>
      <c r="I64" s="8" t="n">
        <v>238.44</v>
      </c>
      <c r="J64" s="9" t="n">
        <v>0</v>
      </c>
    </row>
    <row r="65">
      <c r="A65" s="2" t="inlineStr">
        <is>
          <t>S064</t>
        </is>
      </c>
      <c r="B65" s="7" t="n">
        <v>46006</v>
      </c>
      <c r="C65" s="2" t="inlineStr">
        <is>
          <t>East</t>
        </is>
      </c>
      <c r="D65" s="2" t="inlineStr">
        <is>
          <t>Ananya</t>
        </is>
      </c>
      <c r="E65" s="2" t="inlineStr">
        <is>
          <t>Retail</t>
        </is>
      </c>
      <c r="F65" s="2" t="inlineStr">
        <is>
          <t>Laptop</t>
        </is>
      </c>
      <c r="G65" s="2" t="inlineStr">
        <is>
          <t>Electronics</t>
        </is>
      </c>
      <c r="H65" s="2" t="n">
        <v>3</v>
      </c>
      <c r="I65" s="8" t="n">
        <v>871.23</v>
      </c>
      <c r="J65" s="9" t="n">
        <v>0.15</v>
      </c>
    </row>
    <row r="66">
      <c r="A66" s="2" t="inlineStr">
        <is>
          <t>S065</t>
        </is>
      </c>
      <c r="B66" s="7" t="n">
        <v>45701</v>
      </c>
      <c r="C66" s="2" t="inlineStr">
        <is>
          <t>West</t>
        </is>
      </c>
      <c r="D66" s="2" t="inlineStr">
        <is>
          <t>Meera</t>
        </is>
      </c>
      <c r="E66" s="2" t="inlineStr">
        <is>
          <t>Wholesale</t>
        </is>
      </c>
      <c r="F66" s="2" t="inlineStr">
        <is>
          <t>Headphones</t>
        </is>
      </c>
      <c r="G66" s="2" t="inlineStr">
        <is>
          <t>Electronics</t>
        </is>
      </c>
      <c r="H66" s="2" t="n">
        <v>7</v>
      </c>
      <c r="I66" s="8" t="n">
        <v>54.92</v>
      </c>
      <c r="J66" s="9" t="n">
        <v>0</v>
      </c>
    </row>
    <row r="67">
      <c r="A67" s="2" t="inlineStr">
        <is>
          <t>S066</t>
        </is>
      </c>
      <c r="B67" s="7" t="n">
        <v>45792</v>
      </c>
      <c r="C67" s="2" t="inlineStr">
        <is>
          <t>West</t>
        </is>
      </c>
      <c r="D67" s="2" t="inlineStr">
        <is>
          <t>Kabir</t>
        </is>
      </c>
      <c r="E67" s="2" t="inlineStr">
        <is>
          <t>Online</t>
        </is>
      </c>
      <c r="F67" s="2" t="inlineStr">
        <is>
          <t>Monitor</t>
        </is>
      </c>
      <c r="G67" s="2" t="inlineStr">
        <is>
          <t>Electronics</t>
        </is>
      </c>
      <c r="H67" s="2" t="n">
        <v>4</v>
      </c>
      <c r="I67" s="8" t="n">
        <v>230.05</v>
      </c>
      <c r="J67" s="9" t="n">
        <v>0.15</v>
      </c>
    </row>
    <row r="68">
      <c r="A68" s="2" t="inlineStr">
        <is>
          <t>S067</t>
        </is>
      </c>
      <c r="B68" s="7" t="n">
        <v>45771</v>
      </c>
      <c r="C68" s="2" t="inlineStr">
        <is>
          <t>South</t>
        </is>
      </c>
      <c r="D68" s="2" t="inlineStr">
        <is>
          <t>Kabir</t>
        </is>
      </c>
      <c r="E68" s="2" t="inlineStr">
        <is>
          <t>Online</t>
        </is>
      </c>
      <c r="F68" s="2" t="inlineStr">
        <is>
          <t>Notebook Pack</t>
        </is>
      </c>
      <c r="G68" s="2" t="inlineStr">
        <is>
          <t>Stationery</t>
        </is>
      </c>
      <c r="H68" s="2" t="n">
        <v>4</v>
      </c>
      <c r="I68" s="8" t="n">
        <v>8.960000000000001</v>
      </c>
      <c r="J68" s="9" t="n">
        <v>0.05</v>
      </c>
    </row>
    <row r="69">
      <c r="A69" s="2" t="inlineStr">
        <is>
          <t>S068</t>
        </is>
      </c>
      <c r="B69" s="7" t="n">
        <v>45762</v>
      </c>
      <c r="C69" s="2" t="inlineStr">
        <is>
          <t>East</t>
        </is>
      </c>
      <c r="D69" s="2" t="inlineStr">
        <is>
          <t>Meera</t>
        </is>
      </c>
      <c r="E69" s="2" t="inlineStr">
        <is>
          <t>Wholesale</t>
        </is>
      </c>
      <c r="F69" s="2" t="inlineStr">
        <is>
          <t>Backpack</t>
        </is>
      </c>
      <c r="G69" s="2" t="inlineStr">
        <is>
          <t>Accessories</t>
        </is>
      </c>
      <c r="H69" s="2" t="n">
        <v>8</v>
      </c>
      <c r="I69" s="8" t="n">
        <v>47.6</v>
      </c>
      <c r="J69" s="9" t="n">
        <v>0</v>
      </c>
    </row>
    <row r="70">
      <c r="A70" s="2" t="inlineStr">
        <is>
          <t>S069</t>
        </is>
      </c>
      <c r="B70" s="7" t="n">
        <v>45684</v>
      </c>
      <c r="C70" s="2" t="inlineStr">
        <is>
          <t>North</t>
        </is>
      </c>
      <c r="D70" s="2" t="inlineStr">
        <is>
          <t>Ishaan</t>
        </is>
      </c>
      <c r="E70" s="2" t="inlineStr">
        <is>
          <t>Wholesale</t>
        </is>
      </c>
      <c r="F70" s="2" t="inlineStr">
        <is>
          <t>Office Chair</t>
        </is>
      </c>
      <c r="G70" s="2" t="inlineStr">
        <is>
          <t>Furniture</t>
        </is>
      </c>
      <c r="H70" s="2" t="n">
        <v>2</v>
      </c>
      <c r="I70" s="8" t="n">
        <v>144.27</v>
      </c>
      <c r="J70" s="9" t="n">
        <v>0</v>
      </c>
    </row>
    <row r="71">
      <c r="A71" s="2" t="inlineStr">
        <is>
          <t>S070</t>
        </is>
      </c>
      <c r="B71" s="7" t="n">
        <v>45843</v>
      </c>
      <c r="C71" s="2" t="inlineStr">
        <is>
          <t>North</t>
        </is>
      </c>
      <c r="D71" s="2" t="inlineStr">
        <is>
          <t>Aarav</t>
        </is>
      </c>
      <c r="E71" s="2" t="inlineStr">
        <is>
          <t>Wholesale</t>
        </is>
      </c>
      <c r="F71" s="2" t="inlineStr">
        <is>
          <t>Pen Set</t>
        </is>
      </c>
      <c r="G71" s="2" t="inlineStr">
        <is>
          <t>Stationery</t>
        </is>
      </c>
      <c r="H71" s="2" t="n">
        <v>7</v>
      </c>
      <c r="I71" s="8" t="n">
        <v>7.03</v>
      </c>
      <c r="J71" s="9" t="n">
        <v>0</v>
      </c>
    </row>
    <row r="72">
      <c r="A72" s="2" t="inlineStr">
        <is>
          <t>S071</t>
        </is>
      </c>
      <c r="B72" s="7" t="n">
        <v>45935</v>
      </c>
      <c r="C72" s="2" t="inlineStr">
        <is>
          <t>South</t>
        </is>
      </c>
      <c r="D72" s="2" t="inlineStr">
        <is>
          <t>Ishaan</t>
        </is>
      </c>
      <c r="E72" s="2" t="inlineStr">
        <is>
          <t>Wholesale</t>
        </is>
      </c>
      <c r="F72" s="2" t="inlineStr">
        <is>
          <t>Laptop</t>
        </is>
      </c>
      <c r="G72" s="2" t="inlineStr">
        <is>
          <t>Stationery</t>
        </is>
      </c>
      <c r="H72" s="2" t="n">
        <v>12</v>
      </c>
      <c r="I72" s="8" t="n">
        <v>8.77</v>
      </c>
      <c r="J72" s="9" t="n">
        <v>0.15</v>
      </c>
    </row>
    <row r="73">
      <c r="A73" s="2" t="inlineStr">
        <is>
          <t>S072</t>
        </is>
      </c>
      <c r="B73" s="7" t="n">
        <v>45969</v>
      </c>
      <c r="C73" s="2" t="inlineStr">
        <is>
          <t>West</t>
        </is>
      </c>
      <c r="D73" s="2" t="inlineStr">
        <is>
          <t>Meera</t>
        </is>
      </c>
      <c r="E73" s="2" t="inlineStr">
        <is>
          <t>Online</t>
        </is>
      </c>
      <c r="F73" s="2" t="inlineStr">
        <is>
          <t>Notebook Pack</t>
        </is>
      </c>
      <c r="G73" s="2" t="inlineStr">
        <is>
          <t>Stationery</t>
        </is>
      </c>
      <c r="H73" s="2" t="n">
        <v>10</v>
      </c>
      <c r="I73" s="8" t="n">
        <v>9.41</v>
      </c>
      <c r="J73" s="9" t="n">
        <v>0</v>
      </c>
    </row>
    <row r="74">
      <c r="A74" s="2" t="inlineStr">
        <is>
          <t>S073</t>
        </is>
      </c>
      <c r="B74" s="7" t="n">
        <v>45723</v>
      </c>
      <c r="C74" s="2" t="inlineStr">
        <is>
          <t>West</t>
        </is>
      </c>
      <c r="D74" s="2" t="inlineStr">
        <is>
          <t>Kabir</t>
        </is>
      </c>
      <c r="E74" s="2" t="inlineStr">
        <is>
          <t>Online</t>
        </is>
      </c>
      <c r="F74" s="2" t="inlineStr">
        <is>
          <t>Laptop</t>
        </is>
      </c>
      <c r="G74" s="2" t="inlineStr">
        <is>
          <t>Electronics</t>
        </is>
      </c>
      <c r="H74" s="2" t="n">
        <v>3</v>
      </c>
      <c r="I74" s="8" t="n">
        <v>850.89</v>
      </c>
      <c r="J74" s="9" t="n">
        <v>0.1</v>
      </c>
    </row>
    <row r="75">
      <c r="A75" s="2" t="inlineStr">
        <is>
          <t>S074</t>
        </is>
      </c>
      <c r="B75" s="7" t="n">
        <v>45661</v>
      </c>
      <c r="C75" s="2" t="inlineStr">
        <is>
          <t>West</t>
        </is>
      </c>
      <c r="D75" s="2" t="inlineStr">
        <is>
          <t>Aarav</t>
        </is>
      </c>
      <c r="E75" s="2" t="inlineStr">
        <is>
          <t>Retail</t>
        </is>
      </c>
      <c r="F75" s="2" t="inlineStr">
        <is>
          <t>Keyboard</t>
        </is>
      </c>
      <c r="G75" s="2" t="inlineStr">
        <is>
          <t>Electronics</t>
        </is>
      </c>
      <c r="H75" s="2" t="n">
        <v>7</v>
      </c>
      <c r="I75" s="8" t="n">
        <v>42.92</v>
      </c>
      <c r="J75" s="9" t="n">
        <v>0.1</v>
      </c>
    </row>
    <row r="76">
      <c r="A76" s="2" t="inlineStr">
        <is>
          <t>S075</t>
        </is>
      </c>
      <c r="B76" s="7" t="n">
        <v>45756</v>
      </c>
      <c r="C76" s="2" t="inlineStr">
        <is>
          <t>West</t>
        </is>
      </c>
      <c r="D76" s="2" t="inlineStr">
        <is>
          <t>Ishaan</t>
        </is>
      </c>
      <c r="E76" s="2" t="inlineStr">
        <is>
          <t>Online</t>
        </is>
      </c>
      <c r="F76" s="2" t="inlineStr">
        <is>
          <t>Office Chair</t>
        </is>
      </c>
      <c r="G76" s="2" t="inlineStr">
        <is>
          <t>Furniture</t>
        </is>
      </c>
      <c r="H76" s="2" t="n">
        <v>3</v>
      </c>
      <c r="I76" s="8" t="n">
        <v>157.31</v>
      </c>
      <c r="J76" s="9" t="n">
        <v>0</v>
      </c>
    </row>
    <row r="77">
      <c r="A77" s="2" t="inlineStr">
        <is>
          <t>S076</t>
        </is>
      </c>
      <c r="B77" s="7" t="n">
        <v>45901</v>
      </c>
      <c r="C77" s="2" t="inlineStr">
        <is>
          <t>West</t>
        </is>
      </c>
      <c r="D77" s="2" t="inlineStr">
        <is>
          <t>Meera</t>
        </is>
      </c>
      <c r="E77" s="2" t="inlineStr">
        <is>
          <t>Online</t>
        </is>
      </c>
      <c r="F77" s="2" t="inlineStr">
        <is>
          <t>Office Chair</t>
        </is>
      </c>
      <c r="G77" s="2" t="inlineStr">
        <is>
          <t>Furniture</t>
        </is>
      </c>
      <c r="H77" s="2" t="n">
        <v>7</v>
      </c>
      <c r="I77" s="8" t="n">
        <v>149.82</v>
      </c>
      <c r="J77" s="9" t="n">
        <v>0.05</v>
      </c>
    </row>
    <row r="78">
      <c r="A78" s="2" t="inlineStr">
        <is>
          <t>S077</t>
        </is>
      </c>
      <c r="B78" s="7" t="n">
        <v>45746</v>
      </c>
      <c r="C78" s="2" t="inlineStr">
        <is>
          <t>North</t>
        </is>
      </c>
      <c r="D78" s="2" t="inlineStr">
        <is>
          <t>Ishaan</t>
        </is>
      </c>
      <c r="E78" s="2" t="inlineStr">
        <is>
          <t>Wholesale</t>
        </is>
      </c>
      <c r="F78" s="2" t="inlineStr">
        <is>
          <t>Headphones</t>
        </is>
      </c>
      <c r="G78" s="2" t="inlineStr">
        <is>
          <t>Electronics</t>
        </is>
      </c>
      <c r="H78" s="2" t="n">
        <v>4</v>
      </c>
      <c r="I78" s="8" t="n">
        <v>53.07</v>
      </c>
      <c r="J78" s="9" t="n">
        <v>0.1</v>
      </c>
    </row>
    <row r="79">
      <c r="A79" s="2" t="inlineStr">
        <is>
          <t>S078</t>
        </is>
      </c>
      <c r="B79" s="7" t="n">
        <v>45955</v>
      </c>
      <c r="C79" s="2" t="inlineStr">
        <is>
          <t>West</t>
        </is>
      </c>
      <c r="D79" s="2" t="inlineStr">
        <is>
          <t>Aarav</t>
        </is>
      </c>
      <c r="E79" s="2" t="inlineStr">
        <is>
          <t>Retail</t>
        </is>
      </c>
      <c r="F79" s="2" t="inlineStr">
        <is>
          <t>Desk</t>
        </is>
      </c>
      <c r="G79" s="2" t="inlineStr">
        <is>
          <t>Furniture</t>
        </is>
      </c>
      <c r="H79" s="2" t="n">
        <v>6</v>
      </c>
      <c r="I79" s="8" t="n">
        <v>183.64</v>
      </c>
      <c r="J79" s="9" t="n">
        <v>0.1</v>
      </c>
    </row>
    <row r="80">
      <c r="A80" s="2" t="inlineStr">
        <is>
          <t>S079</t>
        </is>
      </c>
      <c r="B80" s="7" t="n">
        <v>45795</v>
      </c>
      <c r="C80" s="2" t="inlineStr">
        <is>
          <t>North</t>
        </is>
      </c>
      <c r="D80" s="2" t="inlineStr">
        <is>
          <t>Ishaan</t>
        </is>
      </c>
      <c r="E80" s="2" t="inlineStr">
        <is>
          <t>Online</t>
        </is>
      </c>
      <c r="F80" s="2" t="inlineStr">
        <is>
          <t>Keyboard</t>
        </is>
      </c>
      <c r="G80" s="2" t="inlineStr">
        <is>
          <t>Electronics</t>
        </is>
      </c>
      <c r="H80" s="2" t="n">
        <v>9</v>
      </c>
      <c r="I80" s="8" t="n">
        <v>40.31</v>
      </c>
      <c r="J80" s="9" t="n">
        <v>0</v>
      </c>
    </row>
    <row r="81">
      <c r="A81" s="2" t="inlineStr">
        <is>
          <t>S080</t>
        </is>
      </c>
      <c r="B81" s="7" t="n">
        <v>45678</v>
      </c>
      <c r="C81" s="2" t="inlineStr">
        <is>
          <t>South</t>
        </is>
      </c>
      <c r="D81" s="2" t="inlineStr">
        <is>
          <t>Diya</t>
        </is>
      </c>
      <c r="E81" s="2" t="inlineStr">
        <is>
          <t>Wholesale</t>
        </is>
      </c>
      <c r="F81" s="2" t="inlineStr">
        <is>
          <t>Office Chair</t>
        </is>
      </c>
      <c r="G81" s="2" t="inlineStr">
        <is>
          <t>Furniture</t>
        </is>
      </c>
      <c r="H81" s="2" t="n">
        <v>6</v>
      </c>
      <c r="I81" s="8" t="n">
        <v>149.08</v>
      </c>
      <c r="J81" s="9" t="n">
        <v>0.05</v>
      </c>
    </row>
    <row r="82">
      <c r="A82" s="2" t="inlineStr">
        <is>
          <t>S011</t>
        </is>
      </c>
      <c r="B82" s="7" t="n">
        <v>45683</v>
      </c>
      <c r="C82" s="2" t="inlineStr">
        <is>
          <t>West</t>
        </is>
      </c>
      <c r="D82" s="2" t="inlineStr">
        <is>
          <t>Ananya</t>
        </is>
      </c>
      <c r="E82" s="2" t="inlineStr">
        <is>
          <t>Online</t>
        </is>
      </c>
      <c r="F82" s="2" t="inlineStr">
        <is>
          <t>Notebook Pack</t>
        </is>
      </c>
      <c r="G82" s="2" t="inlineStr">
        <is>
          <t>Stationery</t>
        </is>
      </c>
      <c r="H82" s="2" t="n">
        <v>1</v>
      </c>
      <c r="I82" s="8" t="n">
        <v>9.31</v>
      </c>
      <c r="J82" s="9" t="n">
        <v>0.1</v>
      </c>
    </row>
  </sheetData>
  <autoFilter ref="A1:J82"/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6" t="inlineStr">
        <is>
          <t>Order ID</t>
        </is>
      </c>
      <c r="B1" s="6" t="inlineStr">
        <is>
          <t>Order Date</t>
        </is>
      </c>
      <c r="C1" s="6" t="inlineStr">
        <is>
          <t>Region</t>
        </is>
      </c>
      <c r="D1" s="6" t="inlineStr">
        <is>
          <t>Sales Rep</t>
        </is>
      </c>
      <c r="E1" s="6" t="inlineStr">
        <is>
          <t>Sales Channel</t>
        </is>
      </c>
      <c r="F1" s="6" t="inlineStr">
        <is>
          <t>Product</t>
        </is>
      </c>
      <c r="G1" s="6" t="inlineStr">
        <is>
          <t>Category</t>
        </is>
      </c>
      <c r="H1" s="6" t="inlineStr">
        <is>
          <t>Quantity</t>
        </is>
      </c>
      <c r="I1" s="6" t="inlineStr">
        <is>
          <t>Unit Price</t>
        </is>
      </c>
      <c r="J1" s="6" t="inlineStr">
        <is>
          <t>Discount Rate</t>
        </is>
      </c>
      <c r="K1" s="6" t="inlineStr">
        <is>
          <t>Gross Sales</t>
        </is>
      </c>
      <c r="L1" s="6" t="inlineStr">
        <is>
          <t>Discount Amount</t>
        </is>
      </c>
      <c r="M1" s="6" t="inlineStr">
        <is>
          <t>Net Sales</t>
        </is>
      </c>
      <c r="N1" s="6" t="inlineStr">
        <is>
          <t>Estimated Unit Cost</t>
        </is>
      </c>
      <c r="O1" s="6" t="inlineStr">
        <is>
          <t>Estimated Profit</t>
        </is>
      </c>
      <c r="P1" s="6" t="inlineStr">
        <is>
          <t>Data Quality Note</t>
        </is>
      </c>
    </row>
    <row r="2">
      <c r="A2" s="2" t="inlineStr">
        <is>
          <t>S001</t>
        </is>
      </c>
      <c r="B2" s="7" t="n">
        <v>45925</v>
      </c>
      <c r="C2" s="2" t="inlineStr">
        <is>
          <t>East</t>
        </is>
      </c>
      <c r="D2" s="2" t="inlineStr">
        <is>
          <t>Aarav</t>
        </is>
      </c>
      <c r="E2" s="2" t="inlineStr">
        <is>
          <t>Online</t>
        </is>
      </c>
      <c r="F2" s="2" t="inlineStr">
        <is>
          <t>Pen Set</t>
        </is>
      </c>
      <c r="G2" s="2" t="inlineStr">
        <is>
          <t>Stationery</t>
        </is>
      </c>
      <c r="H2" s="2" t="n">
        <v>5</v>
      </c>
      <c r="I2" s="8" t="n">
        <v>6.79</v>
      </c>
      <c r="J2" s="9" t="n">
        <v>0.05</v>
      </c>
      <c r="K2" s="8">
        <f>H2*I2</f>
        <v/>
      </c>
      <c r="L2" s="8">
        <f>K2*J2</f>
        <v/>
      </c>
      <c r="M2" s="8">
        <f>K2-L2</f>
        <v/>
      </c>
      <c r="N2" s="8">
        <f>IF(F2="Laptop",620,IF(F2="Headphones",28,IF(F2="Keyboard",22,IF(F2="Office Chair",95,IF(F2="Desk",110,IF(F2="Notebook Pack",4,IF(F2="Pen Set",3,IF(F2="Water Bottle",8,IF(F2="Backpack",24,IF(F2="Monitor",140,0))))))))))</f>
        <v/>
      </c>
      <c r="O2" s="8">
        <f>M2-(H2*N2)</f>
        <v/>
      </c>
      <c r="P2" s="2" t="inlineStr">
        <is>
          <t>Checked; no issue detected</t>
        </is>
      </c>
    </row>
    <row r="3">
      <c r="A3" s="2" t="inlineStr">
        <is>
          <t>S002</t>
        </is>
      </c>
      <c r="B3" s="7" t="n">
        <v>45785</v>
      </c>
      <c r="C3" s="2" t="inlineStr">
        <is>
          <t>East</t>
        </is>
      </c>
      <c r="D3" s="2" t="inlineStr">
        <is>
          <t>Ananya</t>
        </is>
      </c>
      <c r="E3" s="2" t="inlineStr">
        <is>
          <t>Wholesale</t>
        </is>
      </c>
      <c r="F3" s="2" t="inlineStr">
        <is>
          <t>Pen Set</t>
        </is>
      </c>
      <c r="G3" s="2" t="inlineStr">
        <is>
          <t>Stationery</t>
        </is>
      </c>
      <c r="H3" s="2" t="n">
        <v>12</v>
      </c>
      <c r="I3" s="8" t="n">
        <v>6.76</v>
      </c>
      <c r="J3" s="9" t="n">
        <v>0.1</v>
      </c>
      <c r="K3" s="8">
        <f>H3*I3</f>
        <v/>
      </c>
      <c r="L3" s="8">
        <f>K3*J3</f>
        <v/>
      </c>
      <c r="M3" s="8">
        <f>K3-L3</f>
        <v/>
      </c>
      <c r="N3" s="8">
        <f>IF(F3="Laptop",620,IF(F3="Headphones",28,IF(F3="Keyboard",22,IF(F3="Office Chair",95,IF(F3="Desk",110,IF(F3="Notebook Pack",4,IF(F3="Pen Set",3,IF(F3="Water Bottle",8,IF(F3="Backpack",24,IF(F3="Monitor",140,0))))))))))</f>
        <v/>
      </c>
      <c r="O3" s="8">
        <f>M3-(H3*N3)</f>
        <v/>
      </c>
      <c r="P3" s="2" t="inlineStr">
        <is>
          <t>Checked; no issue detected</t>
        </is>
      </c>
    </row>
    <row r="4">
      <c r="A4" s="2" t="inlineStr">
        <is>
          <t>S003</t>
        </is>
      </c>
      <c r="B4" s="7" t="n">
        <v>45863</v>
      </c>
      <c r="C4" s="2" t="inlineStr">
        <is>
          <t>South</t>
        </is>
      </c>
      <c r="D4" s="2" t="inlineStr">
        <is>
          <t>Diya</t>
        </is>
      </c>
      <c r="E4" s="2" t="inlineStr">
        <is>
          <t>Wholesale</t>
        </is>
      </c>
      <c r="F4" s="2" t="inlineStr">
        <is>
          <t>Keyboard</t>
        </is>
      </c>
      <c r="G4" s="2" t="inlineStr">
        <is>
          <t>Electronics</t>
        </is>
      </c>
      <c r="H4" s="2" t="n">
        <v>9</v>
      </c>
      <c r="I4" s="8" t="n">
        <v>39.88</v>
      </c>
      <c r="J4" s="9" t="n">
        <v>0</v>
      </c>
      <c r="K4" s="8">
        <f>H4*I4</f>
        <v/>
      </c>
      <c r="L4" s="8">
        <f>K4*J4</f>
        <v/>
      </c>
      <c r="M4" s="8">
        <f>K4-L4</f>
        <v/>
      </c>
      <c r="N4" s="8">
        <f>IF(F4="Laptop",620,IF(F4="Headphones",28,IF(F4="Keyboard",22,IF(F4="Office Chair",95,IF(F4="Desk",110,IF(F4="Notebook Pack",4,IF(F4="Pen Set",3,IF(F4="Water Bottle",8,IF(F4="Backpack",24,IF(F4="Monitor",140,0))))))))))</f>
        <v/>
      </c>
      <c r="O4" s="8">
        <f>M4-(H4*N4)</f>
        <v/>
      </c>
      <c r="P4" s="2" t="inlineStr">
        <is>
          <t>Checked; no issue detected</t>
        </is>
      </c>
    </row>
    <row r="5">
      <c r="A5" s="2" t="inlineStr">
        <is>
          <t>S004</t>
        </is>
      </c>
      <c r="B5" s="7" t="n">
        <v>45930</v>
      </c>
      <c r="C5" s="2" t="inlineStr">
        <is>
          <t>North</t>
        </is>
      </c>
      <c r="D5" s="2" t="inlineStr">
        <is>
          <t>Ananya</t>
        </is>
      </c>
      <c r="E5" s="2" t="inlineStr">
        <is>
          <t>Wholesale</t>
        </is>
      </c>
      <c r="F5" s="2" t="inlineStr">
        <is>
          <t>Backpack</t>
        </is>
      </c>
      <c r="G5" s="2" t="inlineStr">
        <is>
          <t>Accessories</t>
        </is>
      </c>
      <c r="H5" s="2" t="n">
        <v>11</v>
      </c>
      <c r="I5" s="8" t="n">
        <v>46.86</v>
      </c>
      <c r="J5" s="9" t="n">
        <v>0</v>
      </c>
      <c r="K5" s="8">
        <f>H5*I5</f>
        <v/>
      </c>
      <c r="L5" s="8">
        <f>K5*J5</f>
        <v/>
      </c>
      <c r="M5" s="8">
        <f>K5-L5</f>
        <v/>
      </c>
      <c r="N5" s="8">
        <f>IF(F5="Laptop",620,IF(F5="Headphones",28,IF(F5="Keyboard",22,IF(F5="Office Chair",95,IF(F5="Desk",110,IF(F5="Notebook Pack",4,IF(F5="Pen Set",3,IF(F5="Water Bottle",8,IF(F5="Backpack",24,IF(F5="Monitor",140,0))))))))))</f>
        <v/>
      </c>
      <c r="O5" s="8">
        <f>M5-(H5*N5)</f>
        <v/>
      </c>
      <c r="P5" s="2" t="inlineStr">
        <is>
          <t>Checked; no issue detected</t>
        </is>
      </c>
    </row>
    <row r="6">
      <c r="A6" s="2" t="inlineStr">
        <is>
          <t>S005</t>
        </is>
      </c>
      <c r="B6" s="7" t="n">
        <v>45693</v>
      </c>
      <c r="C6" s="2" t="inlineStr">
        <is>
          <t>West</t>
        </is>
      </c>
      <c r="D6" s="2" t="inlineStr">
        <is>
          <t>Ananya</t>
        </is>
      </c>
      <c r="E6" s="2" t="inlineStr">
        <is>
          <t>Wholesale</t>
        </is>
      </c>
      <c r="F6" s="2" t="inlineStr">
        <is>
          <t>Desk</t>
        </is>
      </c>
      <c r="G6" s="2" t="inlineStr">
        <is>
          <t>Furniture</t>
        </is>
      </c>
      <c r="H6" s="2" t="n">
        <v>7</v>
      </c>
      <c r="I6" s="8" t="n">
        <v>190.19</v>
      </c>
      <c r="J6" s="9" t="n">
        <v>0</v>
      </c>
      <c r="K6" s="8">
        <f>H6*I6</f>
        <v/>
      </c>
      <c r="L6" s="8">
        <f>K6*J6</f>
        <v/>
      </c>
      <c r="M6" s="8">
        <f>K6-L6</f>
        <v/>
      </c>
      <c r="N6" s="8">
        <f>IF(F6="Laptop",620,IF(F6="Headphones",28,IF(F6="Keyboard",22,IF(F6="Office Chair",95,IF(F6="Desk",110,IF(F6="Notebook Pack",4,IF(F6="Pen Set",3,IF(F6="Water Bottle",8,IF(F6="Backpack",24,IF(F6="Monitor",140,0))))))))))</f>
        <v/>
      </c>
      <c r="O6" s="8">
        <f>M6-(H6*N6)</f>
        <v/>
      </c>
      <c r="P6" s="2" t="inlineStr">
        <is>
          <t>Checked; no issue detected</t>
        </is>
      </c>
    </row>
    <row r="7">
      <c r="A7" s="2" t="inlineStr">
        <is>
          <t>S006</t>
        </is>
      </c>
      <c r="B7" s="7" t="n">
        <v>45730</v>
      </c>
      <c r="C7" s="2" t="inlineStr">
        <is>
          <t>East</t>
        </is>
      </c>
      <c r="D7" s="2" t="inlineStr">
        <is>
          <t>Kabir</t>
        </is>
      </c>
      <c r="E7" s="2" t="inlineStr">
        <is>
          <t>Online</t>
        </is>
      </c>
      <c r="F7" s="2" t="inlineStr">
        <is>
          <t>Pen Set</t>
        </is>
      </c>
      <c r="G7" s="2" t="inlineStr">
        <is>
          <t>Stationery</t>
        </is>
      </c>
      <c r="H7" s="2" t="n">
        <v>9</v>
      </c>
      <c r="I7" s="8" t="n">
        <v>6.53</v>
      </c>
      <c r="J7" s="9" t="n">
        <v>0.05</v>
      </c>
      <c r="K7" s="8">
        <f>H7*I7</f>
        <v/>
      </c>
      <c r="L7" s="8">
        <f>K7*J7</f>
        <v/>
      </c>
      <c r="M7" s="8">
        <f>K7-L7</f>
        <v/>
      </c>
      <c r="N7" s="8">
        <f>IF(F7="Laptop",620,IF(F7="Headphones",28,IF(F7="Keyboard",22,IF(F7="Office Chair",95,IF(F7="Desk",110,IF(F7="Notebook Pack",4,IF(F7="Pen Set",3,IF(F7="Water Bottle",8,IF(F7="Backpack",24,IF(F7="Monitor",140,0))))))))))</f>
        <v/>
      </c>
      <c r="O7" s="8">
        <f>M7-(H7*N7)</f>
        <v/>
      </c>
      <c r="P7" s="2" t="inlineStr">
        <is>
          <t>Checked; no issue detected</t>
        </is>
      </c>
    </row>
    <row r="8">
      <c r="A8" s="2" t="inlineStr">
        <is>
          <t>S007</t>
        </is>
      </c>
      <c r="B8" s="7" t="n">
        <v>45839</v>
      </c>
      <c r="C8" s="2" t="inlineStr">
        <is>
          <t>Unknown</t>
        </is>
      </c>
      <c r="D8" s="2" t="inlineStr">
        <is>
          <t>Meera</t>
        </is>
      </c>
      <c r="E8" s="2" t="inlineStr">
        <is>
          <t>Online</t>
        </is>
      </c>
      <c r="F8" s="2" t="inlineStr">
        <is>
          <t>Laptop</t>
        </is>
      </c>
      <c r="G8" s="2" t="inlineStr">
        <is>
          <t>Electronics</t>
        </is>
      </c>
      <c r="H8" s="2" t="n">
        <v>8</v>
      </c>
      <c r="I8" s="8" t="n">
        <v>859.53</v>
      </c>
      <c r="J8" s="9" t="n">
        <v>0.05</v>
      </c>
      <c r="K8" s="8">
        <f>H8*I8</f>
        <v/>
      </c>
      <c r="L8" s="8">
        <f>K8*J8</f>
        <v/>
      </c>
      <c r="M8" s="8">
        <f>K8-L8</f>
        <v/>
      </c>
      <c r="N8" s="8">
        <f>IF(F8="Laptop",620,IF(F8="Headphones",28,IF(F8="Keyboard",22,IF(F8="Office Chair",95,IF(F8="Desk",110,IF(F8="Notebook Pack",4,IF(F8="Pen Set",3,IF(F8="Water Bottle",8,IF(F8="Backpack",24,IF(F8="Monitor",140,0))))))))))</f>
        <v/>
      </c>
      <c r="O8" s="8">
        <f>M8-(H8*N8)</f>
        <v/>
      </c>
      <c r="P8" s="2" t="inlineStr">
        <is>
          <t>Missing region set to Unknown</t>
        </is>
      </c>
    </row>
    <row r="9">
      <c r="A9" s="2" t="inlineStr">
        <is>
          <t>S008</t>
        </is>
      </c>
      <c r="B9" s="7" t="n">
        <v>45717</v>
      </c>
      <c r="C9" s="2" t="inlineStr">
        <is>
          <t>East</t>
        </is>
      </c>
      <c r="D9" s="2" t="inlineStr">
        <is>
          <t>Aarav</t>
        </is>
      </c>
      <c r="E9" s="2" t="inlineStr">
        <is>
          <t>Retail</t>
        </is>
      </c>
      <c r="F9" s="2" t="inlineStr">
        <is>
          <t>Backpack</t>
        </is>
      </c>
      <c r="G9" s="2" t="inlineStr">
        <is>
          <t>Accessories</t>
        </is>
      </c>
      <c r="H9" s="2" t="n">
        <v>4</v>
      </c>
      <c r="I9" s="8" t="n">
        <v>48.18</v>
      </c>
      <c r="J9" s="9" t="n">
        <v>0</v>
      </c>
      <c r="K9" s="8">
        <f>H9*I9</f>
        <v/>
      </c>
      <c r="L9" s="8">
        <f>K9*J9</f>
        <v/>
      </c>
      <c r="M9" s="8">
        <f>K9-L9</f>
        <v/>
      </c>
      <c r="N9" s="8">
        <f>IF(F9="Laptop",620,IF(F9="Headphones",28,IF(F9="Keyboard",22,IF(F9="Office Chair",95,IF(F9="Desk",110,IF(F9="Notebook Pack",4,IF(F9="Pen Set",3,IF(F9="Water Bottle",8,IF(F9="Backpack",24,IF(F9="Monitor",140,0))))))))))</f>
        <v/>
      </c>
      <c r="O9" s="8">
        <f>M9-(H9*N9)</f>
        <v/>
      </c>
      <c r="P9" s="2" t="inlineStr">
        <is>
          <t>Checked; no issue detected</t>
        </is>
      </c>
    </row>
    <row r="10">
      <c r="A10" s="2" t="inlineStr">
        <is>
          <t>S009</t>
        </is>
      </c>
      <c r="B10" s="7" t="n">
        <v>45690</v>
      </c>
      <c r="C10" s="2" t="inlineStr">
        <is>
          <t>South</t>
        </is>
      </c>
      <c r="D10" s="2" t="inlineStr">
        <is>
          <t>Ishaan</t>
        </is>
      </c>
      <c r="E10" s="2" t="inlineStr">
        <is>
          <t>Wholesale</t>
        </is>
      </c>
      <c r="F10" s="2" t="inlineStr">
        <is>
          <t>Desk</t>
        </is>
      </c>
      <c r="G10" s="2" t="inlineStr">
        <is>
          <t>Furniture</t>
        </is>
      </c>
      <c r="H10" s="2" t="n">
        <v>4</v>
      </c>
      <c r="I10" s="8" t="n">
        <v>198.74</v>
      </c>
      <c r="J10" s="9" t="n">
        <v>0.15</v>
      </c>
      <c r="K10" s="8">
        <f>H10*I10</f>
        <v/>
      </c>
      <c r="L10" s="8">
        <f>K10*J10</f>
        <v/>
      </c>
      <c r="M10" s="8">
        <f>K10-L10</f>
        <v/>
      </c>
      <c r="N10" s="8">
        <f>IF(F10="Laptop",620,IF(F10="Headphones",28,IF(F10="Keyboard",22,IF(F10="Office Chair",95,IF(F10="Desk",110,IF(F10="Notebook Pack",4,IF(F10="Pen Set",3,IF(F10="Water Bottle",8,IF(F10="Backpack",24,IF(F10="Monitor",140,0))))))))))</f>
        <v/>
      </c>
      <c r="O10" s="8">
        <f>M10-(H10*N10)</f>
        <v/>
      </c>
      <c r="P10" s="2" t="inlineStr">
        <is>
          <t>Checked; no issue detected</t>
        </is>
      </c>
    </row>
    <row r="11">
      <c r="A11" s="2" t="inlineStr">
        <is>
          <t>S010</t>
        </is>
      </c>
      <c r="B11" s="7" t="n">
        <v>45815</v>
      </c>
      <c r="C11" s="2" t="inlineStr">
        <is>
          <t>East</t>
        </is>
      </c>
      <c r="D11" s="2" t="inlineStr">
        <is>
          <t>Ishaan</t>
        </is>
      </c>
      <c r="E11" s="2" t="inlineStr">
        <is>
          <t>Online</t>
        </is>
      </c>
      <c r="F11" s="2" t="inlineStr">
        <is>
          <t>Notebook Pack</t>
        </is>
      </c>
      <c r="G11" s="2" t="inlineStr">
        <is>
          <t>Stationery</t>
        </is>
      </c>
      <c r="H11" s="2" t="n">
        <v>6</v>
      </c>
      <c r="I11" s="8" t="n">
        <v>8.789999999999999</v>
      </c>
      <c r="J11" s="9" t="n">
        <v>0</v>
      </c>
      <c r="K11" s="8">
        <f>H11*I11</f>
        <v/>
      </c>
      <c r="L11" s="8">
        <f>K11*J11</f>
        <v/>
      </c>
      <c r="M11" s="8">
        <f>K11-L11</f>
        <v/>
      </c>
      <c r="N11" s="8">
        <f>IF(F11="Laptop",620,IF(F11="Headphones",28,IF(F11="Keyboard",22,IF(F11="Office Chair",95,IF(F11="Desk",110,IF(F11="Notebook Pack",4,IF(F11="Pen Set",3,IF(F11="Water Bottle",8,IF(F11="Backpack",24,IF(F11="Monitor",140,0))))))))))</f>
        <v/>
      </c>
      <c r="O11" s="8">
        <f>M11-(H11*N11)</f>
        <v/>
      </c>
      <c r="P11" s="2" t="inlineStr">
        <is>
          <t>Checked; no issue detected</t>
        </is>
      </c>
    </row>
    <row r="12">
      <c r="A12" s="2" t="inlineStr">
        <is>
          <t>S011</t>
        </is>
      </c>
      <c r="B12" s="7" t="n">
        <v>45683</v>
      </c>
      <c r="C12" s="2" t="inlineStr">
        <is>
          <t>West</t>
        </is>
      </c>
      <c r="D12" s="2" t="inlineStr">
        <is>
          <t>Ananya</t>
        </is>
      </c>
      <c r="E12" s="2" t="inlineStr">
        <is>
          <t>Online</t>
        </is>
      </c>
      <c r="F12" s="2" t="inlineStr">
        <is>
          <t>Notebook Pack</t>
        </is>
      </c>
      <c r="G12" s="2" t="inlineStr">
        <is>
          <t>Stationery</t>
        </is>
      </c>
      <c r="H12" s="2" t="n">
        <v>1</v>
      </c>
      <c r="I12" s="8" t="n">
        <v>9.31</v>
      </c>
      <c r="J12" s="9" t="n">
        <v>0.1</v>
      </c>
      <c r="K12" s="8">
        <f>H12*I12</f>
        <v/>
      </c>
      <c r="L12" s="8">
        <f>K12*J12</f>
        <v/>
      </c>
      <c r="M12" s="8">
        <f>K12-L12</f>
        <v/>
      </c>
      <c r="N12" s="8">
        <f>IF(F12="Laptop",620,IF(F12="Headphones",28,IF(F12="Keyboard",22,IF(F12="Office Chair",95,IF(F12="Desk",110,IF(F12="Notebook Pack",4,IF(F12="Pen Set",3,IF(F12="Water Bottle",8,IF(F12="Backpack",24,IF(F12="Monitor",140,0))))))))))</f>
        <v/>
      </c>
      <c r="O12" s="8">
        <f>M12-(H12*N12)</f>
        <v/>
      </c>
      <c r="P12" s="2" t="inlineStr">
        <is>
          <t>Checked; no issue detected</t>
        </is>
      </c>
    </row>
    <row r="13">
      <c r="A13" s="2" t="inlineStr">
        <is>
          <t>S012</t>
        </is>
      </c>
      <c r="B13" s="7" t="n">
        <v>45759</v>
      </c>
      <c r="C13" s="2" t="inlineStr">
        <is>
          <t>West</t>
        </is>
      </c>
      <c r="D13" s="2" t="inlineStr">
        <is>
          <t>Aarav</t>
        </is>
      </c>
      <c r="E13" s="2" t="inlineStr">
        <is>
          <t>Wholesale</t>
        </is>
      </c>
      <c r="F13" s="2" t="inlineStr">
        <is>
          <t>Desk</t>
        </is>
      </c>
      <c r="G13" s="2" t="inlineStr">
        <is>
          <t>Furniture</t>
        </is>
      </c>
      <c r="H13" s="2" t="n">
        <v>5</v>
      </c>
      <c r="I13" s="8" t="n">
        <v>196.6</v>
      </c>
      <c r="J13" s="9" t="n">
        <v>0</v>
      </c>
      <c r="K13" s="8">
        <f>H13*I13</f>
        <v/>
      </c>
      <c r="L13" s="8">
        <f>K13*J13</f>
        <v/>
      </c>
      <c r="M13" s="8">
        <f>K13-L13</f>
        <v/>
      </c>
      <c r="N13" s="8">
        <f>IF(F13="Laptop",620,IF(F13="Headphones",28,IF(F13="Keyboard",22,IF(F13="Office Chair",95,IF(F13="Desk",110,IF(F13="Notebook Pack",4,IF(F13="Pen Set",3,IF(F13="Water Bottle",8,IF(F13="Backpack",24,IF(F13="Monitor",140,0))))))))))</f>
        <v/>
      </c>
      <c r="O13" s="8">
        <f>M13-(H13*N13)</f>
        <v/>
      </c>
      <c r="P13" s="2" t="inlineStr">
        <is>
          <t>Checked; no issue detected</t>
        </is>
      </c>
    </row>
    <row r="14">
      <c r="A14" s="2" t="inlineStr">
        <is>
          <t>S013</t>
        </is>
      </c>
      <c r="B14" s="7" t="n">
        <v>45946</v>
      </c>
      <c r="C14" s="2" t="inlineStr">
        <is>
          <t>West</t>
        </is>
      </c>
      <c r="D14" s="2" t="inlineStr">
        <is>
          <t>Diya</t>
        </is>
      </c>
      <c r="E14" s="2" t="inlineStr">
        <is>
          <t>Online</t>
        </is>
      </c>
      <c r="F14" s="2" t="inlineStr">
        <is>
          <t>Backpack</t>
        </is>
      </c>
      <c r="G14" s="2" t="inlineStr">
        <is>
          <t>Accessories</t>
        </is>
      </c>
      <c r="H14" s="2" t="n">
        <v>11</v>
      </c>
      <c r="I14" s="8" t="n">
        <v>47.35</v>
      </c>
      <c r="J14" s="9" t="n">
        <v>0</v>
      </c>
      <c r="K14" s="8">
        <f>H14*I14</f>
        <v/>
      </c>
      <c r="L14" s="8">
        <f>K14*J14</f>
        <v/>
      </c>
      <c r="M14" s="8">
        <f>K14-L14</f>
        <v/>
      </c>
      <c r="N14" s="8">
        <f>IF(F14="Laptop",620,IF(F14="Headphones",28,IF(F14="Keyboard",22,IF(F14="Office Chair",95,IF(F14="Desk",110,IF(F14="Notebook Pack",4,IF(F14="Pen Set",3,IF(F14="Water Bottle",8,IF(F14="Backpack",24,IF(F14="Monitor",140,0))))))))))</f>
        <v/>
      </c>
      <c r="O14" s="8">
        <f>M14-(H14*N14)</f>
        <v/>
      </c>
      <c r="P14" s="2" t="inlineStr">
        <is>
          <t>Checked; no issue detected</t>
        </is>
      </c>
    </row>
    <row r="15">
      <c r="A15" s="2" t="inlineStr">
        <is>
          <t>S014</t>
        </is>
      </c>
      <c r="B15" s="7" t="n">
        <v>45786</v>
      </c>
      <c r="C15" s="2" t="inlineStr">
        <is>
          <t>North</t>
        </is>
      </c>
      <c r="D15" s="2" t="inlineStr">
        <is>
          <t>Kabir</t>
        </is>
      </c>
      <c r="E15" s="2" t="inlineStr">
        <is>
          <t>Retail</t>
        </is>
      </c>
      <c r="F15" s="2" t="inlineStr">
        <is>
          <t>Keyboard</t>
        </is>
      </c>
      <c r="G15" s="2" t="inlineStr">
        <is>
          <t>Electronics</t>
        </is>
      </c>
      <c r="H15" s="2" t="n">
        <v>11</v>
      </c>
      <c r="I15" s="8" t="n">
        <v>44.4</v>
      </c>
      <c r="J15" s="9" t="n">
        <v>0</v>
      </c>
      <c r="K15" s="8">
        <f>H15*I15</f>
        <v/>
      </c>
      <c r="L15" s="8">
        <f>K15*J15</f>
        <v/>
      </c>
      <c r="M15" s="8">
        <f>K15-L15</f>
        <v/>
      </c>
      <c r="N15" s="8">
        <f>IF(F15="Laptop",620,IF(F15="Headphones",28,IF(F15="Keyboard",22,IF(F15="Office Chair",95,IF(F15="Desk",110,IF(F15="Notebook Pack",4,IF(F15="Pen Set",3,IF(F15="Water Bottle",8,IF(F15="Backpack",24,IF(F15="Monitor",140,0))))))))))</f>
        <v/>
      </c>
      <c r="O15" s="8">
        <f>M15-(H15*N15)</f>
        <v/>
      </c>
      <c r="P15" s="2" t="inlineStr">
        <is>
          <t>Checked; no issue detected</t>
        </is>
      </c>
    </row>
    <row r="16">
      <c r="A16" s="2" t="inlineStr">
        <is>
          <t>S015</t>
        </is>
      </c>
      <c r="B16" s="7" t="n">
        <v>45819</v>
      </c>
      <c r="C16" s="2" t="inlineStr">
        <is>
          <t>North</t>
        </is>
      </c>
      <c r="D16" s="2" t="inlineStr">
        <is>
          <t>Ananya</t>
        </is>
      </c>
      <c r="E16" s="2" t="inlineStr">
        <is>
          <t>Retail</t>
        </is>
      </c>
      <c r="F16" s="2" t="inlineStr">
        <is>
          <t>Notebook Pack</t>
        </is>
      </c>
      <c r="G16" s="2" t="inlineStr">
        <is>
          <t>Stationery</t>
        </is>
      </c>
      <c r="H16" s="2" t="n">
        <v>1</v>
      </c>
      <c r="I16" s="8" t="n">
        <v>9.539999999999999</v>
      </c>
      <c r="J16" s="9" t="n">
        <v>0</v>
      </c>
      <c r="K16" s="8">
        <f>H16*I16</f>
        <v/>
      </c>
      <c r="L16" s="8">
        <f>K16*J16</f>
        <v/>
      </c>
      <c r="M16" s="8">
        <f>K16-L16</f>
        <v/>
      </c>
      <c r="N16" s="8">
        <f>IF(F16="Laptop",620,IF(F16="Headphones",28,IF(F16="Keyboard",22,IF(F16="Office Chair",95,IF(F16="Desk",110,IF(F16="Notebook Pack",4,IF(F16="Pen Set",3,IF(F16="Water Bottle",8,IF(F16="Backpack",24,IF(F16="Monitor",140,0))))))))))</f>
        <v/>
      </c>
      <c r="O16" s="8">
        <f>M16-(H16*N16)</f>
        <v/>
      </c>
      <c r="P16" s="2" t="inlineStr">
        <is>
          <t>Checked; no issue detected</t>
        </is>
      </c>
    </row>
    <row r="17">
      <c r="A17" s="2" t="inlineStr">
        <is>
          <t>S016</t>
        </is>
      </c>
      <c r="B17" s="7" t="n">
        <v>45786</v>
      </c>
      <c r="C17" s="2" t="inlineStr">
        <is>
          <t>South</t>
        </is>
      </c>
      <c r="D17" s="2" t="inlineStr">
        <is>
          <t>Diya</t>
        </is>
      </c>
      <c r="E17" s="2" t="inlineStr">
        <is>
          <t>Wholesale</t>
        </is>
      </c>
      <c r="F17" s="2" t="inlineStr">
        <is>
          <t>Pen Set</t>
        </is>
      </c>
      <c r="G17" s="2" t="inlineStr">
        <is>
          <t>Stationery</t>
        </is>
      </c>
      <c r="H17" s="2" t="n">
        <v>8</v>
      </c>
      <c r="I17" s="8" t="n">
        <v>7.04</v>
      </c>
      <c r="J17" s="9" t="n">
        <v>0</v>
      </c>
      <c r="K17" s="8">
        <f>H17*I17</f>
        <v/>
      </c>
      <c r="L17" s="8">
        <f>K17*J17</f>
        <v/>
      </c>
      <c r="M17" s="8">
        <f>K17-L17</f>
        <v/>
      </c>
      <c r="N17" s="8">
        <f>IF(F17="Laptop",620,IF(F17="Headphones",28,IF(F17="Keyboard",22,IF(F17="Office Chair",95,IF(F17="Desk",110,IF(F17="Notebook Pack",4,IF(F17="Pen Set",3,IF(F17="Water Bottle",8,IF(F17="Backpack",24,IF(F17="Monitor",140,0))))))))))</f>
        <v/>
      </c>
      <c r="O17" s="8">
        <f>M17-(H17*N17)</f>
        <v/>
      </c>
      <c r="P17" s="2" t="inlineStr">
        <is>
          <t>Checked; no issue detected</t>
        </is>
      </c>
    </row>
    <row r="18">
      <c r="A18" s="2" t="inlineStr">
        <is>
          <t>S017</t>
        </is>
      </c>
      <c r="B18" s="7" t="n">
        <v>45793</v>
      </c>
      <c r="C18" s="2" t="inlineStr">
        <is>
          <t>West</t>
        </is>
      </c>
      <c r="D18" s="2" t="inlineStr">
        <is>
          <t>Kabir</t>
        </is>
      </c>
      <c r="E18" s="2" t="inlineStr">
        <is>
          <t>Retail</t>
        </is>
      </c>
      <c r="F18" s="2" t="inlineStr">
        <is>
          <t>Monitor</t>
        </is>
      </c>
      <c r="G18" s="2" t="inlineStr">
        <is>
          <t>Electronics</t>
        </is>
      </c>
      <c r="H18" s="2" t="n">
        <v>3</v>
      </c>
      <c r="I18" s="8" t="n">
        <v>215.48</v>
      </c>
      <c r="J18" s="9" t="n">
        <v>0.05</v>
      </c>
      <c r="K18" s="8">
        <f>H18*I18</f>
        <v/>
      </c>
      <c r="L18" s="8">
        <f>K18*J18</f>
        <v/>
      </c>
      <c r="M18" s="8">
        <f>K18-L18</f>
        <v/>
      </c>
      <c r="N18" s="8">
        <f>IF(F18="Laptop",620,IF(F18="Headphones",28,IF(F18="Keyboard",22,IF(F18="Office Chair",95,IF(F18="Desk",110,IF(F18="Notebook Pack",4,IF(F18="Pen Set",3,IF(F18="Water Bottle",8,IF(F18="Backpack",24,IF(F18="Monitor",140,0))))))))))</f>
        <v/>
      </c>
      <c r="O18" s="8">
        <f>M18-(H18*N18)</f>
        <v/>
      </c>
      <c r="P18" s="2" t="inlineStr">
        <is>
          <t>Checked; no issue detected</t>
        </is>
      </c>
    </row>
    <row r="19">
      <c r="A19" s="2" t="inlineStr">
        <is>
          <t>S018</t>
        </is>
      </c>
      <c r="B19" s="7" t="n">
        <v>45907</v>
      </c>
      <c r="C19" s="2" t="inlineStr">
        <is>
          <t>West</t>
        </is>
      </c>
      <c r="D19" s="2" t="inlineStr">
        <is>
          <t>Aarav</t>
        </is>
      </c>
      <c r="E19" s="2" t="inlineStr">
        <is>
          <t>Retail</t>
        </is>
      </c>
      <c r="F19" s="2" t="inlineStr">
        <is>
          <t>Office Chair</t>
        </is>
      </c>
      <c r="G19" s="2" t="inlineStr">
        <is>
          <t>Furniture</t>
        </is>
      </c>
      <c r="H19" s="2" t="n">
        <v>9</v>
      </c>
      <c r="I19" s="8" t="n">
        <v>155.34</v>
      </c>
      <c r="J19" s="9" t="n">
        <v>0.1</v>
      </c>
      <c r="K19" s="8">
        <f>H19*I19</f>
        <v/>
      </c>
      <c r="L19" s="8">
        <f>K19*J19</f>
        <v/>
      </c>
      <c r="M19" s="8">
        <f>K19-L19</f>
        <v/>
      </c>
      <c r="N19" s="8">
        <f>IF(F19="Laptop",620,IF(F19="Headphones",28,IF(F19="Keyboard",22,IF(F19="Office Chair",95,IF(F19="Desk",110,IF(F19="Notebook Pack",4,IF(F19="Pen Set",3,IF(F19="Water Bottle",8,IF(F19="Backpack",24,IF(F19="Monitor",140,0))))))))))</f>
        <v/>
      </c>
      <c r="O19" s="8">
        <f>M19-(H19*N19)</f>
        <v/>
      </c>
      <c r="P19" s="2" t="inlineStr">
        <is>
          <t>Checked; no issue detected</t>
        </is>
      </c>
    </row>
    <row r="20">
      <c r="A20" s="2" t="inlineStr">
        <is>
          <t>S019</t>
        </is>
      </c>
      <c r="B20" s="7" t="n">
        <v>45769</v>
      </c>
      <c r="C20" s="2" t="inlineStr">
        <is>
          <t>East</t>
        </is>
      </c>
      <c r="D20" s="2" t="inlineStr">
        <is>
          <t>Kabir</t>
        </is>
      </c>
      <c r="E20" s="2" t="inlineStr">
        <is>
          <t>Online</t>
        </is>
      </c>
      <c r="F20" s="2" t="inlineStr">
        <is>
          <t>Headphones</t>
        </is>
      </c>
      <c r="G20" s="2" t="inlineStr">
        <is>
          <t>Furniture</t>
        </is>
      </c>
      <c r="H20" s="2" t="n">
        <v>8</v>
      </c>
      <c r="I20" s="8" t="n">
        <v>161.94</v>
      </c>
      <c r="J20" s="9" t="n">
        <v>0.05</v>
      </c>
      <c r="K20" s="8">
        <f>H20*I20</f>
        <v/>
      </c>
      <c r="L20" s="8">
        <f>K20*J20</f>
        <v/>
      </c>
      <c r="M20" s="8">
        <f>K20-L20</f>
        <v/>
      </c>
      <c r="N20" s="8">
        <f>IF(F20="Laptop",620,IF(F20="Headphones",28,IF(F20="Keyboard",22,IF(F20="Office Chair",95,IF(F20="Desk",110,IF(F20="Notebook Pack",4,IF(F20="Pen Set",3,IF(F20="Water Bottle",8,IF(F20="Backpack",24,IF(F20="Monitor",140,0))))))))))</f>
        <v/>
      </c>
      <c r="O20" s="8">
        <f>M20-(H20*N20)</f>
        <v/>
      </c>
      <c r="P20" s="2" t="inlineStr">
        <is>
          <t>Checked; no issue detected</t>
        </is>
      </c>
    </row>
    <row r="21">
      <c r="A21" s="2" t="inlineStr">
        <is>
          <t>S020</t>
        </is>
      </c>
      <c r="B21" s="7" t="n">
        <v>45953</v>
      </c>
      <c r="C21" s="2" t="inlineStr">
        <is>
          <t>East</t>
        </is>
      </c>
      <c r="D21" s="2" t="inlineStr">
        <is>
          <t>Kabir</t>
        </is>
      </c>
      <c r="E21" s="2" t="inlineStr">
        <is>
          <t>Online</t>
        </is>
      </c>
      <c r="F21" s="2" t="inlineStr">
        <is>
          <t>Monitor</t>
        </is>
      </c>
      <c r="G21" s="2" t="inlineStr">
        <is>
          <t>Electronics</t>
        </is>
      </c>
      <c r="H21" s="2" t="n">
        <v>9</v>
      </c>
      <c r="I21" s="8" t="n">
        <v>215.63</v>
      </c>
      <c r="J21" s="9" t="n">
        <v>0.1</v>
      </c>
      <c r="K21" s="8">
        <f>H21*I21</f>
        <v/>
      </c>
      <c r="L21" s="8">
        <f>K21*J21</f>
        <v/>
      </c>
      <c r="M21" s="8">
        <f>K21-L21</f>
        <v/>
      </c>
      <c r="N21" s="8">
        <f>IF(F21="Laptop",620,IF(F21="Headphones",28,IF(F21="Keyboard",22,IF(F21="Office Chair",95,IF(F21="Desk",110,IF(F21="Notebook Pack",4,IF(F21="Pen Set",3,IF(F21="Water Bottle",8,IF(F21="Backpack",24,IF(F21="Monitor",140,0))))))))))</f>
        <v/>
      </c>
      <c r="O21" s="8">
        <f>M21-(H21*N21)</f>
        <v/>
      </c>
      <c r="P21" s="2" t="inlineStr">
        <is>
          <t>Checked; no issue detected</t>
        </is>
      </c>
    </row>
    <row r="22">
      <c r="A22" s="2" t="inlineStr">
        <is>
          <t>S021</t>
        </is>
      </c>
      <c r="B22" s="7" t="n">
        <v>45942</v>
      </c>
      <c r="C22" s="2" t="inlineStr">
        <is>
          <t>South</t>
        </is>
      </c>
      <c r="D22" s="2" t="inlineStr">
        <is>
          <t>Ishaan</t>
        </is>
      </c>
      <c r="E22" s="2" t="inlineStr">
        <is>
          <t>Retail</t>
        </is>
      </c>
      <c r="F22" s="2" t="inlineStr">
        <is>
          <t>Office Chair</t>
        </is>
      </c>
      <c r="G22" s="2" t="inlineStr">
        <is>
          <t>Furniture</t>
        </is>
      </c>
      <c r="H22" s="2" t="n">
        <v>10</v>
      </c>
      <c r="I22" s="8" t="n">
        <v>152.13</v>
      </c>
      <c r="J22" s="9" t="n">
        <v>0.05</v>
      </c>
      <c r="K22" s="8">
        <f>H22*I22</f>
        <v/>
      </c>
      <c r="L22" s="8">
        <f>K22*J22</f>
        <v/>
      </c>
      <c r="M22" s="8">
        <f>K22-L22</f>
        <v/>
      </c>
      <c r="N22" s="8">
        <f>IF(F22="Laptop",620,IF(F22="Headphones",28,IF(F22="Keyboard",22,IF(F22="Office Chair",95,IF(F22="Desk",110,IF(F22="Notebook Pack",4,IF(F22="Pen Set",3,IF(F22="Water Bottle",8,IF(F22="Backpack",24,IF(F22="Monitor",140,0))))))))))</f>
        <v/>
      </c>
      <c r="O22" s="8">
        <f>M22-(H22*N22)</f>
        <v/>
      </c>
      <c r="P22" s="2" t="inlineStr">
        <is>
          <t>Checked; no issue detected</t>
        </is>
      </c>
    </row>
    <row r="23">
      <c r="A23" s="2" t="inlineStr">
        <is>
          <t>S022</t>
        </is>
      </c>
      <c r="B23" s="7" t="n">
        <v>45840</v>
      </c>
      <c r="C23" s="2" t="inlineStr">
        <is>
          <t>North</t>
        </is>
      </c>
      <c r="D23" s="2" t="inlineStr">
        <is>
          <t>Diya</t>
        </is>
      </c>
      <c r="E23" s="2" t="inlineStr">
        <is>
          <t>Wholesale</t>
        </is>
      </c>
      <c r="F23" s="2" t="inlineStr">
        <is>
          <t>Water Bottle</t>
        </is>
      </c>
      <c r="G23" s="2" t="inlineStr">
        <is>
          <t>Accessories</t>
        </is>
      </c>
      <c r="H23" s="2" t="n">
        <v>10</v>
      </c>
      <c r="I23" s="8" t="n">
        <v>18.05</v>
      </c>
      <c r="J23" s="9" t="n">
        <v>0</v>
      </c>
      <c r="K23" s="8">
        <f>H23*I23</f>
        <v/>
      </c>
      <c r="L23" s="8">
        <f>K23*J23</f>
        <v/>
      </c>
      <c r="M23" s="8">
        <f>K23-L23</f>
        <v/>
      </c>
      <c r="N23" s="8">
        <f>IF(F23="Laptop",620,IF(F23="Headphones",28,IF(F23="Keyboard",22,IF(F23="Office Chair",95,IF(F23="Desk",110,IF(F23="Notebook Pack",4,IF(F23="Pen Set",3,IF(F23="Water Bottle",8,IF(F23="Backpack",24,IF(F23="Monitor",140,0))))))))))</f>
        <v/>
      </c>
      <c r="O23" s="8">
        <f>M23-(H23*N23)</f>
        <v/>
      </c>
      <c r="P23" s="2" t="inlineStr">
        <is>
          <t>Checked; no issue detected</t>
        </is>
      </c>
    </row>
    <row r="24">
      <c r="A24" s="2" t="inlineStr">
        <is>
          <t>S023</t>
        </is>
      </c>
      <c r="B24" s="7" t="n">
        <v>46018</v>
      </c>
      <c r="C24" s="2" t="inlineStr">
        <is>
          <t>South</t>
        </is>
      </c>
      <c r="D24" s="2" t="inlineStr">
        <is>
          <t>Kabir</t>
        </is>
      </c>
      <c r="E24" s="2" t="inlineStr">
        <is>
          <t>Wholesale</t>
        </is>
      </c>
      <c r="F24" s="2" t="inlineStr">
        <is>
          <t>Backpack</t>
        </is>
      </c>
      <c r="G24" s="2" t="inlineStr">
        <is>
          <t>Accessories</t>
        </is>
      </c>
      <c r="H24" s="2" t="n">
        <v>3</v>
      </c>
      <c r="I24" s="8" t="n">
        <v>47.76</v>
      </c>
      <c r="J24" s="9" t="n">
        <v>0.1</v>
      </c>
      <c r="K24" s="8">
        <f>H24*I24</f>
        <v/>
      </c>
      <c r="L24" s="8">
        <f>K24*J24</f>
        <v/>
      </c>
      <c r="M24" s="8">
        <f>K24-L24</f>
        <v/>
      </c>
      <c r="N24" s="8">
        <f>IF(F24="Laptop",620,IF(F24="Headphones",28,IF(F24="Keyboard",22,IF(F24="Office Chair",95,IF(F24="Desk",110,IF(F24="Notebook Pack",4,IF(F24="Pen Set",3,IF(F24="Water Bottle",8,IF(F24="Backpack",24,IF(F24="Monitor",140,0))))))))))</f>
        <v/>
      </c>
      <c r="O24" s="8">
        <f>M24-(H24*N24)</f>
        <v/>
      </c>
      <c r="P24" s="2" t="inlineStr">
        <is>
          <t>Checked; no issue detected</t>
        </is>
      </c>
    </row>
    <row r="25">
      <c r="A25" s="2" t="inlineStr">
        <is>
          <t>S024</t>
        </is>
      </c>
      <c r="B25" s="7" t="n">
        <v>45901</v>
      </c>
      <c r="C25" s="2" t="inlineStr">
        <is>
          <t>North</t>
        </is>
      </c>
      <c r="D25" s="2" t="inlineStr">
        <is>
          <t>Meera</t>
        </is>
      </c>
      <c r="E25" s="2" t="inlineStr">
        <is>
          <t>Retail</t>
        </is>
      </c>
      <c r="F25" s="2" t="inlineStr">
        <is>
          <t>Water Bottle</t>
        </is>
      </c>
      <c r="G25" s="2" t="inlineStr">
        <is>
          <t>Accessories</t>
        </is>
      </c>
      <c r="H25" s="2" t="n">
        <v>1</v>
      </c>
      <c r="I25" s="8" t="n">
        <v>17.4</v>
      </c>
      <c r="J25" s="9" t="n">
        <v>0.05</v>
      </c>
      <c r="K25" s="8">
        <f>H25*I25</f>
        <v/>
      </c>
      <c r="L25" s="8">
        <f>K25*J25</f>
        <v/>
      </c>
      <c r="M25" s="8">
        <f>K25-L25</f>
        <v/>
      </c>
      <c r="N25" s="8">
        <f>IF(F25="Laptop",620,IF(F25="Headphones",28,IF(F25="Keyboard",22,IF(F25="Office Chair",95,IF(F25="Desk",110,IF(F25="Notebook Pack",4,IF(F25="Pen Set",3,IF(F25="Water Bottle",8,IF(F25="Backpack",24,IF(F25="Monitor",140,0))))))))))</f>
        <v/>
      </c>
      <c r="O25" s="8">
        <f>M25-(H25*N25)</f>
        <v/>
      </c>
      <c r="P25" s="2" t="inlineStr">
        <is>
          <t>Checked; no issue detected</t>
        </is>
      </c>
    </row>
    <row r="26">
      <c r="A26" s="2" t="inlineStr">
        <is>
          <t>S025</t>
        </is>
      </c>
      <c r="B26" s="7" t="n">
        <v>45826</v>
      </c>
      <c r="C26" s="2" t="inlineStr">
        <is>
          <t>North</t>
        </is>
      </c>
      <c r="D26" s="2" t="inlineStr">
        <is>
          <t>Aarav</t>
        </is>
      </c>
      <c r="E26" s="2" t="inlineStr">
        <is>
          <t>Online</t>
        </is>
      </c>
      <c r="F26" s="2" t="inlineStr">
        <is>
          <t>Office Chair</t>
        </is>
      </c>
      <c r="G26" s="2" t="inlineStr">
        <is>
          <t>Furniture</t>
        </is>
      </c>
      <c r="H26" s="2" t="n">
        <v>1</v>
      </c>
      <c r="I26" s="8" t="n">
        <v>146.29</v>
      </c>
      <c r="J26" s="9" t="n">
        <v>0.05</v>
      </c>
      <c r="K26" s="8">
        <f>H26*I26</f>
        <v/>
      </c>
      <c r="L26" s="8">
        <f>K26*J26</f>
        <v/>
      </c>
      <c r="M26" s="8">
        <f>K26-L26</f>
        <v/>
      </c>
      <c r="N26" s="8">
        <f>IF(F26="Laptop",620,IF(F26="Headphones",28,IF(F26="Keyboard",22,IF(F26="Office Chair",95,IF(F26="Desk",110,IF(F26="Notebook Pack",4,IF(F26="Pen Set",3,IF(F26="Water Bottle",8,IF(F26="Backpack",24,IF(F26="Monitor",140,0))))))))))</f>
        <v/>
      </c>
      <c r="O26" s="8">
        <f>M26-(H26*N26)</f>
        <v/>
      </c>
      <c r="P26" s="2" t="inlineStr">
        <is>
          <t>Checked; no issue detected</t>
        </is>
      </c>
    </row>
    <row r="27">
      <c r="A27" s="2" t="inlineStr">
        <is>
          <t>S026</t>
        </is>
      </c>
      <c r="B27" s="7" t="n">
        <v>45899</v>
      </c>
      <c r="C27" s="2" t="inlineStr">
        <is>
          <t>North</t>
        </is>
      </c>
      <c r="D27" s="2" t="inlineStr">
        <is>
          <t>Aarav</t>
        </is>
      </c>
      <c r="E27" s="2" t="inlineStr">
        <is>
          <t>Retail</t>
        </is>
      </c>
      <c r="F27" s="2" t="inlineStr">
        <is>
          <t>Desk</t>
        </is>
      </c>
      <c r="G27" s="2" t="inlineStr">
        <is>
          <t>Furniture</t>
        </is>
      </c>
      <c r="H27" s="2" t="n">
        <v>10</v>
      </c>
      <c r="I27" s="8" t="n">
        <v>203.12</v>
      </c>
      <c r="J27" s="9" t="n">
        <v>0</v>
      </c>
      <c r="K27" s="8">
        <f>H27*I27</f>
        <v/>
      </c>
      <c r="L27" s="8">
        <f>K27*J27</f>
        <v/>
      </c>
      <c r="M27" s="8">
        <f>K27-L27</f>
        <v/>
      </c>
      <c r="N27" s="8">
        <f>IF(F27="Laptop",620,IF(F27="Headphones",28,IF(F27="Keyboard",22,IF(F27="Office Chair",95,IF(F27="Desk",110,IF(F27="Notebook Pack",4,IF(F27="Pen Set",3,IF(F27="Water Bottle",8,IF(F27="Backpack",24,IF(F27="Monitor",140,0))))))))))</f>
        <v/>
      </c>
      <c r="O27" s="8">
        <f>M27-(H27*N27)</f>
        <v/>
      </c>
      <c r="P27" s="2" t="inlineStr">
        <is>
          <t>Checked; no issue detected</t>
        </is>
      </c>
    </row>
    <row r="28">
      <c r="A28" s="2" t="inlineStr">
        <is>
          <t>S027</t>
        </is>
      </c>
      <c r="B28" s="7" t="n">
        <v>45932</v>
      </c>
      <c r="C28" s="2" t="inlineStr">
        <is>
          <t>North</t>
        </is>
      </c>
      <c r="D28" s="2" t="inlineStr">
        <is>
          <t>Meera</t>
        </is>
      </c>
      <c r="E28" s="2" t="inlineStr">
        <is>
          <t>Online</t>
        </is>
      </c>
      <c r="F28" s="2" t="inlineStr">
        <is>
          <t>Office Chair</t>
        </is>
      </c>
      <c r="G28" s="2" t="inlineStr">
        <is>
          <t>Furniture</t>
        </is>
      </c>
      <c r="H28" s="2" t="n">
        <v>11</v>
      </c>
      <c r="I28" s="8" t="n">
        <v>162.61</v>
      </c>
      <c r="J28" s="9" t="n">
        <v>0</v>
      </c>
      <c r="K28" s="8">
        <f>H28*I28</f>
        <v/>
      </c>
      <c r="L28" s="8">
        <f>K28*J28</f>
        <v/>
      </c>
      <c r="M28" s="8">
        <f>K28-L28</f>
        <v/>
      </c>
      <c r="N28" s="8">
        <f>IF(F28="Laptop",620,IF(F28="Headphones",28,IF(F28="Keyboard",22,IF(F28="Office Chair",95,IF(F28="Desk",110,IF(F28="Notebook Pack",4,IF(F28="Pen Set",3,IF(F28="Water Bottle",8,IF(F28="Backpack",24,IF(F28="Monitor",140,0))))))))))</f>
        <v/>
      </c>
      <c r="O28" s="8">
        <f>M28-(H28*N28)</f>
        <v/>
      </c>
      <c r="P28" s="2" t="inlineStr">
        <is>
          <t>Checked; no issue detected</t>
        </is>
      </c>
    </row>
    <row r="29">
      <c r="A29" s="2" t="inlineStr">
        <is>
          <t>S028</t>
        </is>
      </c>
      <c r="B29" s="7" t="n">
        <v>45934</v>
      </c>
      <c r="C29" s="2" t="inlineStr">
        <is>
          <t>East</t>
        </is>
      </c>
      <c r="D29" s="2" t="inlineStr">
        <is>
          <t>Ishaan</t>
        </is>
      </c>
      <c r="E29" s="2" t="inlineStr">
        <is>
          <t>Wholesale</t>
        </is>
      </c>
      <c r="F29" s="2" t="inlineStr">
        <is>
          <t>Laptop</t>
        </is>
      </c>
      <c r="G29" s="2" t="inlineStr">
        <is>
          <t>Electronics</t>
        </is>
      </c>
      <c r="H29" s="2" t="n">
        <v>1</v>
      </c>
      <c r="I29" s="8" t="n">
        <v>821.72</v>
      </c>
      <c r="J29" s="9" t="n">
        <v>0.15</v>
      </c>
      <c r="K29" s="8">
        <f>H29*I29</f>
        <v/>
      </c>
      <c r="L29" s="8">
        <f>K29*J29</f>
        <v/>
      </c>
      <c r="M29" s="8">
        <f>K29-L29</f>
        <v/>
      </c>
      <c r="N29" s="8">
        <f>IF(F29="Laptop",620,IF(F29="Headphones",28,IF(F29="Keyboard",22,IF(F29="Office Chair",95,IF(F29="Desk",110,IF(F29="Notebook Pack",4,IF(F29="Pen Set",3,IF(F29="Water Bottle",8,IF(F29="Backpack",24,IF(F29="Monitor",140,0))))))))))</f>
        <v/>
      </c>
      <c r="O29" s="8">
        <f>M29-(H29*N29)</f>
        <v/>
      </c>
      <c r="P29" s="2" t="inlineStr">
        <is>
          <t>Missing/invalid quantity replaced with 1; verify if using real data</t>
        </is>
      </c>
    </row>
    <row r="30">
      <c r="A30" s="2" t="inlineStr">
        <is>
          <t>S029</t>
        </is>
      </c>
      <c r="B30" s="7" t="n">
        <v>45955</v>
      </c>
      <c r="C30" s="2" t="inlineStr">
        <is>
          <t>East</t>
        </is>
      </c>
      <c r="D30" s="2" t="inlineStr">
        <is>
          <t>Aarav</t>
        </is>
      </c>
      <c r="E30" s="2" t="inlineStr">
        <is>
          <t>Wholesale</t>
        </is>
      </c>
      <c r="F30" s="2" t="inlineStr">
        <is>
          <t>Pen Set</t>
        </is>
      </c>
      <c r="G30" s="2" t="inlineStr">
        <is>
          <t>Stationery</t>
        </is>
      </c>
      <c r="H30" s="2" t="n">
        <v>7</v>
      </c>
      <c r="I30" s="8" t="n">
        <v>7.03</v>
      </c>
      <c r="J30" s="9" t="n">
        <v>0</v>
      </c>
      <c r="K30" s="8">
        <f>H30*I30</f>
        <v/>
      </c>
      <c r="L30" s="8">
        <f>K30*J30</f>
        <v/>
      </c>
      <c r="M30" s="8">
        <f>K30-L30</f>
        <v/>
      </c>
      <c r="N30" s="8">
        <f>IF(F30="Laptop",620,IF(F30="Headphones",28,IF(F30="Keyboard",22,IF(F30="Office Chair",95,IF(F30="Desk",110,IF(F30="Notebook Pack",4,IF(F30="Pen Set",3,IF(F30="Water Bottle",8,IF(F30="Backpack",24,IF(F30="Monitor",140,0))))))))))</f>
        <v/>
      </c>
      <c r="O30" s="8">
        <f>M30-(H30*N30)</f>
        <v/>
      </c>
      <c r="P30" s="2" t="inlineStr">
        <is>
          <t>Checked; no issue detected</t>
        </is>
      </c>
    </row>
    <row r="31">
      <c r="A31" s="2" t="inlineStr">
        <is>
          <t>S030</t>
        </is>
      </c>
      <c r="B31" s="7" t="n">
        <v>45675</v>
      </c>
      <c r="C31" s="2" t="inlineStr">
        <is>
          <t>South</t>
        </is>
      </c>
      <c r="D31" s="2" t="inlineStr">
        <is>
          <t>Kabir</t>
        </is>
      </c>
      <c r="E31" s="2" t="inlineStr">
        <is>
          <t>Online</t>
        </is>
      </c>
      <c r="F31" s="2" t="inlineStr">
        <is>
          <t>Desk</t>
        </is>
      </c>
      <c r="G31" s="2" t="inlineStr">
        <is>
          <t>Furniture</t>
        </is>
      </c>
      <c r="H31" s="2" t="n">
        <v>6</v>
      </c>
      <c r="I31" s="8" t="n">
        <v>179.82</v>
      </c>
      <c r="J31" s="9" t="n">
        <v>0.05</v>
      </c>
      <c r="K31" s="8">
        <f>H31*I31</f>
        <v/>
      </c>
      <c r="L31" s="8">
        <f>K31*J31</f>
        <v/>
      </c>
      <c r="M31" s="8">
        <f>K31-L31</f>
        <v/>
      </c>
      <c r="N31" s="8">
        <f>IF(F31="Laptop",620,IF(F31="Headphones",28,IF(F31="Keyboard",22,IF(F31="Office Chair",95,IF(F31="Desk",110,IF(F31="Notebook Pack",4,IF(F31="Pen Set",3,IF(F31="Water Bottle",8,IF(F31="Backpack",24,IF(F31="Monitor",140,0))))))))))</f>
        <v/>
      </c>
      <c r="O31" s="8">
        <f>M31-(H31*N31)</f>
        <v/>
      </c>
      <c r="P31" s="2" t="inlineStr">
        <is>
          <t>Checked; no issue detected</t>
        </is>
      </c>
    </row>
    <row r="32">
      <c r="A32" s="2" t="inlineStr">
        <is>
          <t>S031</t>
        </is>
      </c>
      <c r="B32" s="7" t="n">
        <v>45911</v>
      </c>
      <c r="C32" s="2" t="inlineStr">
        <is>
          <t>North</t>
        </is>
      </c>
      <c r="D32" s="2" t="inlineStr">
        <is>
          <t>Ananya</t>
        </is>
      </c>
      <c r="E32" s="2" t="inlineStr">
        <is>
          <t>Retail</t>
        </is>
      </c>
      <c r="F32" s="2" t="inlineStr">
        <is>
          <t>Desk</t>
        </is>
      </c>
      <c r="G32" s="2" t="inlineStr">
        <is>
          <t>Furniture</t>
        </is>
      </c>
      <c r="H32" s="2" t="n">
        <v>8</v>
      </c>
      <c r="I32" s="8" t="n">
        <v>183.48</v>
      </c>
      <c r="J32" s="9" t="n">
        <v>0</v>
      </c>
      <c r="K32" s="8">
        <f>H32*I32</f>
        <v/>
      </c>
      <c r="L32" s="8">
        <f>K32*J32</f>
        <v/>
      </c>
      <c r="M32" s="8">
        <f>K32-L32</f>
        <v/>
      </c>
      <c r="N32" s="8">
        <f>IF(F32="Laptop",620,IF(F32="Headphones",28,IF(F32="Keyboard",22,IF(F32="Office Chair",95,IF(F32="Desk",110,IF(F32="Notebook Pack",4,IF(F32="Pen Set",3,IF(F32="Water Bottle",8,IF(F32="Backpack",24,IF(F32="Monitor",140,0))))))))))</f>
        <v/>
      </c>
      <c r="O32" s="8">
        <f>M32-(H32*N32)</f>
        <v/>
      </c>
      <c r="P32" s="2" t="inlineStr">
        <is>
          <t>Checked; no issue detected</t>
        </is>
      </c>
    </row>
    <row r="33">
      <c r="A33" s="2" t="inlineStr">
        <is>
          <t>S032</t>
        </is>
      </c>
      <c r="B33" s="7" t="n">
        <v>45816</v>
      </c>
      <c r="C33" s="2" t="inlineStr">
        <is>
          <t>South</t>
        </is>
      </c>
      <c r="D33" s="2" t="inlineStr">
        <is>
          <t>Ishaan</t>
        </is>
      </c>
      <c r="E33" s="2" t="inlineStr">
        <is>
          <t>Online</t>
        </is>
      </c>
      <c r="F33" s="2" t="inlineStr">
        <is>
          <t>Office Chair</t>
        </is>
      </c>
      <c r="G33" s="2" t="inlineStr">
        <is>
          <t>Furniture</t>
        </is>
      </c>
      <c r="H33" s="2" t="n">
        <v>8</v>
      </c>
      <c r="I33" s="8" t="n">
        <v>146.93</v>
      </c>
      <c r="J33" s="9" t="n">
        <v>0.05</v>
      </c>
      <c r="K33" s="8">
        <f>H33*I33</f>
        <v/>
      </c>
      <c r="L33" s="8">
        <f>K33*J33</f>
        <v/>
      </c>
      <c r="M33" s="8">
        <f>K33-L33</f>
        <v/>
      </c>
      <c r="N33" s="8">
        <f>IF(F33="Laptop",620,IF(F33="Headphones",28,IF(F33="Keyboard",22,IF(F33="Office Chair",95,IF(F33="Desk",110,IF(F33="Notebook Pack",4,IF(F33="Pen Set",3,IF(F33="Water Bottle",8,IF(F33="Backpack",24,IF(F33="Monitor",140,0))))))))))</f>
        <v/>
      </c>
      <c r="O33" s="8">
        <f>M33-(H33*N33)</f>
        <v/>
      </c>
      <c r="P33" s="2" t="inlineStr">
        <is>
          <t>Checked; no issue detected</t>
        </is>
      </c>
    </row>
    <row r="34">
      <c r="A34" s="2" t="inlineStr">
        <is>
          <t>S033</t>
        </is>
      </c>
      <c r="B34" s="7" t="n">
        <v>45881</v>
      </c>
      <c r="C34" s="2" t="inlineStr">
        <is>
          <t>South</t>
        </is>
      </c>
      <c r="D34" s="2" t="inlineStr">
        <is>
          <t>Ananya</t>
        </is>
      </c>
      <c r="E34" s="2" t="inlineStr">
        <is>
          <t>Wholesale</t>
        </is>
      </c>
      <c r="F34" s="2" t="inlineStr">
        <is>
          <t>Water Bottle</t>
        </is>
      </c>
      <c r="G34" s="2" t="inlineStr">
        <is>
          <t>Accessories</t>
        </is>
      </c>
      <c r="H34" s="2" t="n">
        <v>9</v>
      </c>
      <c r="I34" s="8" t="n">
        <v>18.71</v>
      </c>
      <c r="J34" s="9" t="n">
        <v>0.1</v>
      </c>
      <c r="K34" s="8">
        <f>H34*I34</f>
        <v/>
      </c>
      <c r="L34" s="8">
        <f>K34*J34</f>
        <v/>
      </c>
      <c r="M34" s="8">
        <f>K34-L34</f>
        <v/>
      </c>
      <c r="N34" s="8">
        <f>IF(F34="Laptop",620,IF(F34="Headphones",28,IF(F34="Keyboard",22,IF(F34="Office Chair",95,IF(F34="Desk",110,IF(F34="Notebook Pack",4,IF(F34="Pen Set",3,IF(F34="Water Bottle",8,IF(F34="Backpack",24,IF(F34="Monitor",140,0))))))))))</f>
        <v/>
      </c>
      <c r="O34" s="8">
        <f>M34-(H34*N34)</f>
        <v/>
      </c>
      <c r="P34" s="2" t="inlineStr">
        <is>
          <t>Checked; no issue detected</t>
        </is>
      </c>
    </row>
    <row r="35">
      <c r="A35" s="2" t="inlineStr">
        <is>
          <t>S034</t>
        </is>
      </c>
      <c r="B35" s="7" t="n">
        <v>45731</v>
      </c>
      <c r="C35" s="2" t="inlineStr">
        <is>
          <t>West</t>
        </is>
      </c>
      <c r="D35" s="2" t="inlineStr">
        <is>
          <t>Ishaan</t>
        </is>
      </c>
      <c r="E35" s="2" t="inlineStr">
        <is>
          <t>Retail</t>
        </is>
      </c>
      <c r="F35" s="2" t="inlineStr">
        <is>
          <t>Keyboard</t>
        </is>
      </c>
      <c r="G35" s="2" t="inlineStr">
        <is>
          <t>Electronics</t>
        </is>
      </c>
      <c r="H35" s="2" t="n">
        <v>10</v>
      </c>
      <c r="I35" s="8" t="n">
        <v>44.56</v>
      </c>
      <c r="J35" s="9" t="n">
        <v>0.15</v>
      </c>
      <c r="K35" s="8">
        <f>H35*I35</f>
        <v/>
      </c>
      <c r="L35" s="8">
        <f>K35*J35</f>
        <v/>
      </c>
      <c r="M35" s="8">
        <f>K35-L35</f>
        <v/>
      </c>
      <c r="N35" s="8">
        <f>IF(F35="Laptop",620,IF(F35="Headphones",28,IF(F35="Keyboard",22,IF(F35="Office Chair",95,IF(F35="Desk",110,IF(F35="Notebook Pack",4,IF(F35="Pen Set",3,IF(F35="Water Bottle",8,IF(F35="Backpack",24,IF(F35="Monitor",140,0))))))))))</f>
        <v/>
      </c>
      <c r="O35" s="8">
        <f>M35-(H35*N35)</f>
        <v/>
      </c>
      <c r="P35" s="2" t="inlineStr">
        <is>
          <t>Checked; no issue detected</t>
        </is>
      </c>
    </row>
    <row r="36">
      <c r="A36" s="2" t="inlineStr">
        <is>
          <t>S035</t>
        </is>
      </c>
      <c r="B36" s="7" t="n">
        <v>45691</v>
      </c>
      <c r="C36" s="2" t="inlineStr">
        <is>
          <t>South</t>
        </is>
      </c>
      <c r="D36" s="2" t="inlineStr">
        <is>
          <t>Diya</t>
        </is>
      </c>
      <c r="E36" s="2" t="inlineStr">
        <is>
          <t>Retail</t>
        </is>
      </c>
      <c r="F36" s="2" t="inlineStr">
        <is>
          <t>Monitor</t>
        </is>
      </c>
      <c r="G36" s="2" t="inlineStr">
        <is>
          <t>Electronics</t>
        </is>
      </c>
      <c r="H36" s="2" t="n">
        <v>4</v>
      </c>
      <c r="I36" s="8" t="n">
        <v>242.95</v>
      </c>
      <c r="J36" s="9" t="n">
        <v>0</v>
      </c>
      <c r="K36" s="8">
        <f>H36*I36</f>
        <v/>
      </c>
      <c r="L36" s="8">
        <f>K36*J36</f>
        <v/>
      </c>
      <c r="M36" s="8">
        <f>K36-L36</f>
        <v/>
      </c>
      <c r="N36" s="8">
        <f>IF(F36="Laptop",620,IF(F36="Headphones",28,IF(F36="Keyboard",22,IF(F36="Office Chair",95,IF(F36="Desk",110,IF(F36="Notebook Pack",4,IF(F36="Pen Set",3,IF(F36="Water Bottle",8,IF(F36="Backpack",24,IF(F36="Monitor",140,0))))))))))</f>
        <v/>
      </c>
      <c r="O36" s="8">
        <f>M36-(H36*N36)</f>
        <v/>
      </c>
      <c r="P36" s="2" t="inlineStr">
        <is>
          <t>Checked; no issue detected</t>
        </is>
      </c>
    </row>
    <row r="37">
      <c r="A37" s="2" t="inlineStr">
        <is>
          <t>S036</t>
        </is>
      </c>
      <c r="B37" s="7" t="n">
        <v>45938</v>
      </c>
      <c r="C37" s="2" t="inlineStr">
        <is>
          <t>South</t>
        </is>
      </c>
      <c r="D37" s="2" t="inlineStr">
        <is>
          <t>Ishaan</t>
        </is>
      </c>
      <c r="E37" s="2" t="inlineStr">
        <is>
          <t>Online</t>
        </is>
      </c>
      <c r="F37" s="2" t="inlineStr">
        <is>
          <t>Notebook Pack</t>
        </is>
      </c>
      <c r="G37" s="2" t="inlineStr">
        <is>
          <t>Stationery</t>
        </is>
      </c>
      <c r="H37" s="2" t="n">
        <v>9</v>
      </c>
      <c r="I37" s="8" t="n">
        <v>6.5</v>
      </c>
      <c r="J37" s="9" t="n">
        <v>0.1</v>
      </c>
      <c r="K37" s="8">
        <f>H37*I37</f>
        <v/>
      </c>
      <c r="L37" s="8">
        <f>K37*J37</f>
        <v/>
      </c>
      <c r="M37" s="8">
        <f>K37-L37</f>
        <v/>
      </c>
      <c r="N37" s="8">
        <f>IF(F37="Laptop",620,IF(F37="Headphones",28,IF(F37="Keyboard",22,IF(F37="Office Chair",95,IF(F37="Desk",110,IF(F37="Notebook Pack",4,IF(F37="Pen Set",3,IF(F37="Water Bottle",8,IF(F37="Backpack",24,IF(F37="Monitor",140,0))))))))))</f>
        <v/>
      </c>
      <c r="O37" s="8">
        <f>M37-(H37*N37)</f>
        <v/>
      </c>
      <c r="P37" s="2" t="inlineStr">
        <is>
          <t>Missing/invalid unit price filled with product reference midpoint</t>
        </is>
      </c>
    </row>
    <row r="38">
      <c r="A38" s="2" t="inlineStr">
        <is>
          <t>S037</t>
        </is>
      </c>
      <c r="B38" s="7" t="n">
        <v>45911</v>
      </c>
      <c r="C38" s="2" t="inlineStr">
        <is>
          <t>North</t>
        </is>
      </c>
      <c r="D38" s="2" t="inlineStr">
        <is>
          <t>Ishaan</t>
        </is>
      </c>
      <c r="E38" s="2" t="inlineStr">
        <is>
          <t>Retail</t>
        </is>
      </c>
      <c r="F38" s="2" t="inlineStr">
        <is>
          <t>Desk</t>
        </is>
      </c>
      <c r="G38" s="2" t="inlineStr">
        <is>
          <t>Furniture</t>
        </is>
      </c>
      <c r="H38" s="2" t="n">
        <v>9</v>
      </c>
      <c r="I38" s="8" t="n">
        <v>186.61</v>
      </c>
      <c r="J38" s="9" t="n">
        <v>0</v>
      </c>
      <c r="K38" s="8">
        <f>H38*I38</f>
        <v/>
      </c>
      <c r="L38" s="8">
        <f>K38*J38</f>
        <v/>
      </c>
      <c r="M38" s="8">
        <f>K38-L38</f>
        <v/>
      </c>
      <c r="N38" s="8">
        <f>IF(F38="Laptop",620,IF(F38="Headphones",28,IF(F38="Keyboard",22,IF(F38="Office Chair",95,IF(F38="Desk",110,IF(F38="Notebook Pack",4,IF(F38="Pen Set",3,IF(F38="Water Bottle",8,IF(F38="Backpack",24,IF(F38="Monitor",140,0))))))))))</f>
        <v/>
      </c>
      <c r="O38" s="8">
        <f>M38-(H38*N38)</f>
        <v/>
      </c>
      <c r="P38" s="2" t="inlineStr">
        <is>
          <t>Checked; no issue detected</t>
        </is>
      </c>
    </row>
    <row r="39">
      <c r="A39" s="2" t="inlineStr">
        <is>
          <t>S038</t>
        </is>
      </c>
      <c r="B39" s="7" t="n">
        <v>45697</v>
      </c>
      <c r="C39" s="2" t="inlineStr">
        <is>
          <t>South</t>
        </is>
      </c>
      <c r="D39" s="2" t="inlineStr">
        <is>
          <t>Aarav</t>
        </is>
      </c>
      <c r="E39" s="2" t="inlineStr">
        <is>
          <t>Retail</t>
        </is>
      </c>
      <c r="F39" s="2" t="inlineStr">
        <is>
          <t>Pen Set</t>
        </is>
      </c>
      <c r="G39" s="2" t="inlineStr">
        <is>
          <t>Stationery</t>
        </is>
      </c>
      <c r="H39" s="2" t="n">
        <v>2</v>
      </c>
      <c r="I39" s="8" t="n">
        <v>6.88</v>
      </c>
      <c r="J39" s="9" t="n">
        <v>0.15</v>
      </c>
      <c r="K39" s="8">
        <f>H39*I39</f>
        <v/>
      </c>
      <c r="L39" s="8">
        <f>K39*J39</f>
        <v/>
      </c>
      <c r="M39" s="8">
        <f>K39-L39</f>
        <v/>
      </c>
      <c r="N39" s="8">
        <f>IF(F39="Laptop",620,IF(F39="Headphones",28,IF(F39="Keyboard",22,IF(F39="Office Chair",95,IF(F39="Desk",110,IF(F39="Notebook Pack",4,IF(F39="Pen Set",3,IF(F39="Water Bottle",8,IF(F39="Backpack",24,IF(F39="Monitor",140,0))))))))))</f>
        <v/>
      </c>
      <c r="O39" s="8">
        <f>M39-(H39*N39)</f>
        <v/>
      </c>
      <c r="P39" s="2" t="inlineStr">
        <is>
          <t>Checked; no issue detected</t>
        </is>
      </c>
    </row>
    <row r="40">
      <c r="A40" s="2" t="inlineStr">
        <is>
          <t>S039</t>
        </is>
      </c>
      <c r="B40" s="7" t="n">
        <v>45695</v>
      </c>
      <c r="C40" s="2" t="inlineStr">
        <is>
          <t>South</t>
        </is>
      </c>
      <c r="D40" s="2" t="inlineStr">
        <is>
          <t>Ananya</t>
        </is>
      </c>
      <c r="E40" s="2" t="inlineStr">
        <is>
          <t>Retail</t>
        </is>
      </c>
      <c r="F40" s="2" t="inlineStr">
        <is>
          <t>Desk</t>
        </is>
      </c>
      <c r="G40" s="2" t="inlineStr">
        <is>
          <t>Furniture</t>
        </is>
      </c>
      <c r="H40" s="2" t="n">
        <v>6</v>
      </c>
      <c r="I40" s="8" t="n">
        <v>185.25</v>
      </c>
      <c r="J40" s="9" t="n">
        <v>0.1</v>
      </c>
      <c r="K40" s="8">
        <f>H40*I40</f>
        <v/>
      </c>
      <c r="L40" s="8">
        <f>K40*J40</f>
        <v/>
      </c>
      <c r="M40" s="8">
        <f>K40-L40</f>
        <v/>
      </c>
      <c r="N40" s="8">
        <f>IF(F40="Laptop",620,IF(F40="Headphones",28,IF(F40="Keyboard",22,IF(F40="Office Chair",95,IF(F40="Desk",110,IF(F40="Notebook Pack",4,IF(F40="Pen Set",3,IF(F40="Water Bottle",8,IF(F40="Backpack",24,IF(F40="Monitor",140,0))))))))))</f>
        <v/>
      </c>
      <c r="O40" s="8">
        <f>M40-(H40*N40)</f>
        <v/>
      </c>
      <c r="P40" s="2" t="inlineStr">
        <is>
          <t>Checked; no issue detected</t>
        </is>
      </c>
    </row>
    <row r="41">
      <c r="A41" s="2" t="inlineStr">
        <is>
          <t>S040</t>
        </is>
      </c>
      <c r="B41" s="7" t="n">
        <v>45815</v>
      </c>
      <c r="C41" s="2" t="inlineStr">
        <is>
          <t>South</t>
        </is>
      </c>
      <c r="D41" s="2" t="inlineStr">
        <is>
          <t>Meera</t>
        </is>
      </c>
      <c r="E41" s="2" t="inlineStr">
        <is>
          <t>Online</t>
        </is>
      </c>
      <c r="F41" s="2" t="inlineStr">
        <is>
          <t>Pen Set</t>
        </is>
      </c>
      <c r="G41" s="2" t="inlineStr">
        <is>
          <t>Stationery</t>
        </is>
      </c>
      <c r="H41" s="2" t="n">
        <v>6</v>
      </c>
      <c r="I41" s="8" t="n">
        <v>7.01</v>
      </c>
      <c r="J41" s="9" t="n">
        <v>0.15</v>
      </c>
      <c r="K41" s="8">
        <f>H41*I41</f>
        <v/>
      </c>
      <c r="L41" s="8">
        <f>K41*J41</f>
        <v/>
      </c>
      <c r="M41" s="8">
        <f>K41-L41</f>
        <v/>
      </c>
      <c r="N41" s="8">
        <f>IF(F41="Laptop",620,IF(F41="Headphones",28,IF(F41="Keyboard",22,IF(F41="Office Chair",95,IF(F41="Desk",110,IF(F41="Notebook Pack",4,IF(F41="Pen Set",3,IF(F41="Water Bottle",8,IF(F41="Backpack",24,IF(F41="Monitor",140,0))))))))))</f>
        <v/>
      </c>
      <c r="O41" s="8">
        <f>M41-(H41*N41)</f>
        <v/>
      </c>
      <c r="P41" s="2" t="inlineStr">
        <is>
          <t>Checked; no issue detected</t>
        </is>
      </c>
    </row>
    <row r="42">
      <c r="A42" s="2" t="inlineStr">
        <is>
          <t>S041</t>
        </is>
      </c>
      <c r="B42" s="7" t="n">
        <v>45992</v>
      </c>
      <c r="C42" s="2" t="inlineStr">
        <is>
          <t>East</t>
        </is>
      </c>
      <c r="D42" s="2" t="inlineStr">
        <is>
          <t>Ananya</t>
        </is>
      </c>
      <c r="E42" s="2" t="inlineStr">
        <is>
          <t>Retail</t>
        </is>
      </c>
      <c r="F42" s="2" t="inlineStr">
        <is>
          <t>Desk</t>
        </is>
      </c>
      <c r="G42" s="2" t="inlineStr">
        <is>
          <t>Furniture</t>
        </is>
      </c>
      <c r="H42" s="2" t="n">
        <v>4</v>
      </c>
      <c r="I42" s="8" t="n">
        <v>182.37</v>
      </c>
      <c r="J42" s="9" t="n">
        <v>0</v>
      </c>
      <c r="K42" s="8">
        <f>H42*I42</f>
        <v/>
      </c>
      <c r="L42" s="8">
        <f>K42*J42</f>
        <v/>
      </c>
      <c r="M42" s="8">
        <f>K42-L42</f>
        <v/>
      </c>
      <c r="N42" s="8">
        <f>IF(F42="Laptop",620,IF(F42="Headphones",28,IF(F42="Keyboard",22,IF(F42="Office Chair",95,IF(F42="Desk",110,IF(F42="Notebook Pack",4,IF(F42="Pen Set",3,IF(F42="Water Bottle",8,IF(F42="Backpack",24,IF(F42="Monitor",140,0))))))))))</f>
        <v/>
      </c>
      <c r="O42" s="8">
        <f>M42-(H42*N42)</f>
        <v/>
      </c>
      <c r="P42" s="2" t="inlineStr">
        <is>
          <t>Checked; no issue detected</t>
        </is>
      </c>
    </row>
    <row r="43">
      <c r="A43" s="2" t="inlineStr">
        <is>
          <t>S042</t>
        </is>
      </c>
      <c r="B43" s="7" t="n">
        <v>45850</v>
      </c>
      <c r="C43" s="2" t="inlineStr">
        <is>
          <t>South</t>
        </is>
      </c>
      <c r="D43" s="2" t="inlineStr">
        <is>
          <t>Ishaan</t>
        </is>
      </c>
      <c r="E43" s="2" t="inlineStr">
        <is>
          <t>Online</t>
        </is>
      </c>
      <c r="F43" s="2" t="inlineStr">
        <is>
          <t>Desk</t>
        </is>
      </c>
      <c r="G43" s="2" t="inlineStr">
        <is>
          <t>Furniture</t>
        </is>
      </c>
      <c r="H43" s="2" t="n">
        <v>2</v>
      </c>
      <c r="I43" s="8" t="n">
        <v>187.46</v>
      </c>
      <c r="J43" s="9" t="n">
        <v>0.05</v>
      </c>
      <c r="K43" s="8">
        <f>H43*I43</f>
        <v/>
      </c>
      <c r="L43" s="8">
        <f>K43*J43</f>
        <v/>
      </c>
      <c r="M43" s="8">
        <f>K43-L43</f>
        <v/>
      </c>
      <c r="N43" s="8">
        <f>IF(F43="Laptop",620,IF(F43="Headphones",28,IF(F43="Keyboard",22,IF(F43="Office Chair",95,IF(F43="Desk",110,IF(F43="Notebook Pack",4,IF(F43="Pen Set",3,IF(F43="Water Bottle",8,IF(F43="Backpack",24,IF(F43="Monitor",140,0))))))))))</f>
        <v/>
      </c>
      <c r="O43" s="8">
        <f>M43-(H43*N43)</f>
        <v/>
      </c>
      <c r="P43" s="2" t="inlineStr">
        <is>
          <t>Checked; no issue detected</t>
        </is>
      </c>
    </row>
    <row r="44">
      <c r="A44" s="2" t="inlineStr">
        <is>
          <t>S043</t>
        </is>
      </c>
      <c r="B44" s="7" t="n">
        <v>45676</v>
      </c>
      <c r="C44" s="2" t="inlineStr">
        <is>
          <t>West</t>
        </is>
      </c>
      <c r="D44" s="2" t="inlineStr">
        <is>
          <t>Meera</t>
        </is>
      </c>
      <c r="E44" s="2" t="inlineStr">
        <is>
          <t>Retail</t>
        </is>
      </c>
      <c r="F44" s="2" t="inlineStr">
        <is>
          <t>Monitor</t>
        </is>
      </c>
      <c r="G44" s="2" t="inlineStr">
        <is>
          <t>Electronics</t>
        </is>
      </c>
      <c r="H44" s="2" t="n">
        <v>10</v>
      </c>
      <c r="I44" s="8" t="n">
        <v>225.24</v>
      </c>
      <c r="J44" s="9" t="n">
        <v>0</v>
      </c>
      <c r="K44" s="8">
        <f>H44*I44</f>
        <v/>
      </c>
      <c r="L44" s="8">
        <f>K44*J44</f>
        <v/>
      </c>
      <c r="M44" s="8">
        <f>K44-L44</f>
        <v/>
      </c>
      <c r="N44" s="8">
        <f>IF(F44="Laptop",620,IF(F44="Headphones",28,IF(F44="Keyboard",22,IF(F44="Office Chair",95,IF(F44="Desk",110,IF(F44="Notebook Pack",4,IF(F44="Pen Set",3,IF(F44="Water Bottle",8,IF(F44="Backpack",24,IF(F44="Monitor",140,0))))))))))</f>
        <v/>
      </c>
      <c r="O44" s="8">
        <f>M44-(H44*N44)</f>
        <v/>
      </c>
      <c r="P44" s="2" t="inlineStr">
        <is>
          <t>Checked; no issue detected</t>
        </is>
      </c>
    </row>
    <row r="45">
      <c r="A45" s="2" t="inlineStr">
        <is>
          <t>S044</t>
        </is>
      </c>
      <c r="B45" s="7" t="n">
        <v>45970</v>
      </c>
      <c r="C45" s="2" t="inlineStr">
        <is>
          <t>South</t>
        </is>
      </c>
      <c r="D45" s="2" t="inlineStr">
        <is>
          <t>Meera</t>
        </is>
      </c>
      <c r="E45" s="2" t="inlineStr">
        <is>
          <t>Online</t>
        </is>
      </c>
      <c r="F45" s="2" t="inlineStr">
        <is>
          <t>Desk</t>
        </is>
      </c>
      <c r="G45" s="2" t="inlineStr">
        <is>
          <t>Furniture</t>
        </is>
      </c>
      <c r="H45" s="2" t="n">
        <v>12</v>
      </c>
      <c r="I45" s="8" t="n">
        <v>188.65</v>
      </c>
      <c r="J45" s="9" t="n">
        <v>0.05</v>
      </c>
      <c r="K45" s="8">
        <f>H45*I45</f>
        <v/>
      </c>
      <c r="L45" s="8">
        <f>K45*J45</f>
        <v/>
      </c>
      <c r="M45" s="8">
        <f>K45-L45</f>
        <v/>
      </c>
      <c r="N45" s="8">
        <f>IF(F45="Laptop",620,IF(F45="Headphones",28,IF(F45="Keyboard",22,IF(F45="Office Chair",95,IF(F45="Desk",110,IF(F45="Notebook Pack",4,IF(F45="Pen Set",3,IF(F45="Water Bottle",8,IF(F45="Backpack",24,IF(F45="Monitor",140,0))))))))))</f>
        <v/>
      </c>
      <c r="O45" s="8">
        <f>M45-(H45*N45)</f>
        <v/>
      </c>
      <c r="P45" s="2" t="inlineStr">
        <is>
          <t>Checked; no issue detected</t>
        </is>
      </c>
    </row>
    <row r="46">
      <c r="A46" s="2" t="inlineStr">
        <is>
          <t>S045</t>
        </is>
      </c>
      <c r="B46" s="7" t="n">
        <v>45754</v>
      </c>
      <c r="C46" s="2" t="inlineStr">
        <is>
          <t>West</t>
        </is>
      </c>
      <c r="D46" s="2" t="inlineStr">
        <is>
          <t>Aarav</t>
        </is>
      </c>
      <c r="E46" s="2" t="inlineStr">
        <is>
          <t>Retail</t>
        </is>
      </c>
      <c r="F46" s="2" t="inlineStr">
        <is>
          <t>Office Chair</t>
        </is>
      </c>
      <c r="G46" s="2" t="inlineStr">
        <is>
          <t>Furniture</t>
        </is>
      </c>
      <c r="H46" s="2" t="n">
        <v>6</v>
      </c>
      <c r="I46" s="8" t="n">
        <v>149.14</v>
      </c>
      <c r="J46" s="9" t="n">
        <v>0</v>
      </c>
      <c r="K46" s="8">
        <f>H46*I46</f>
        <v/>
      </c>
      <c r="L46" s="8">
        <f>K46*J46</f>
        <v/>
      </c>
      <c r="M46" s="8">
        <f>K46-L46</f>
        <v/>
      </c>
      <c r="N46" s="8">
        <f>IF(F46="Laptop",620,IF(F46="Headphones",28,IF(F46="Keyboard",22,IF(F46="Office Chair",95,IF(F46="Desk",110,IF(F46="Notebook Pack",4,IF(F46="Pen Set",3,IF(F46="Water Bottle",8,IF(F46="Backpack",24,IF(F46="Monitor",140,0))))))))))</f>
        <v/>
      </c>
      <c r="O46" s="8">
        <f>M46-(H46*N46)</f>
        <v/>
      </c>
      <c r="P46" s="2" t="inlineStr">
        <is>
          <t>Checked; no issue detected</t>
        </is>
      </c>
    </row>
    <row r="47">
      <c r="A47" s="2" t="inlineStr">
        <is>
          <t>S046</t>
        </is>
      </c>
      <c r="B47" s="7" t="n">
        <v>45995</v>
      </c>
      <c r="C47" s="2" t="inlineStr">
        <is>
          <t>West</t>
        </is>
      </c>
      <c r="D47" s="2" t="inlineStr">
        <is>
          <t>Ananya</t>
        </is>
      </c>
      <c r="E47" s="2" t="inlineStr">
        <is>
          <t>Retail</t>
        </is>
      </c>
      <c r="F47" s="2" t="inlineStr">
        <is>
          <t>Office Chair</t>
        </is>
      </c>
      <c r="G47" s="2" t="inlineStr">
        <is>
          <t>Furniture</t>
        </is>
      </c>
      <c r="H47" s="2" t="n">
        <v>6</v>
      </c>
      <c r="I47" s="8" t="n">
        <v>161.12</v>
      </c>
      <c r="J47" s="9" t="n">
        <v>0.15</v>
      </c>
      <c r="K47" s="8">
        <f>H47*I47</f>
        <v/>
      </c>
      <c r="L47" s="8">
        <f>K47*J47</f>
        <v/>
      </c>
      <c r="M47" s="8">
        <f>K47-L47</f>
        <v/>
      </c>
      <c r="N47" s="8">
        <f>IF(F47="Laptop",620,IF(F47="Headphones",28,IF(F47="Keyboard",22,IF(F47="Office Chair",95,IF(F47="Desk",110,IF(F47="Notebook Pack",4,IF(F47="Pen Set",3,IF(F47="Water Bottle",8,IF(F47="Backpack",24,IF(F47="Monitor",140,0))))))))))</f>
        <v/>
      </c>
      <c r="O47" s="8">
        <f>M47-(H47*N47)</f>
        <v/>
      </c>
      <c r="P47" s="2" t="inlineStr">
        <is>
          <t>Checked; no issue detected</t>
        </is>
      </c>
    </row>
    <row r="48">
      <c r="A48" s="2" t="inlineStr">
        <is>
          <t>S047</t>
        </is>
      </c>
      <c r="B48" s="7" t="n">
        <v>45988</v>
      </c>
      <c r="C48" s="2" t="inlineStr">
        <is>
          <t>West</t>
        </is>
      </c>
      <c r="D48" s="2" t="inlineStr">
        <is>
          <t>Diya</t>
        </is>
      </c>
      <c r="E48" s="2" t="inlineStr">
        <is>
          <t>Wholesale</t>
        </is>
      </c>
      <c r="F48" s="2" t="inlineStr">
        <is>
          <t>Headphones</t>
        </is>
      </c>
      <c r="G48" s="2" t="inlineStr">
        <is>
          <t>Electronics</t>
        </is>
      </c>
      <c r="H48" s="2" t="n">
        <v>3</v>
      </c>
      <c r="I48" s="8" t="n">
        <v>57.91</v>
      </c>
      <c r="J48" s="9" t="n">
        <v>0</v>
      </c>
      <c r="K48" s="8">
        <f>H48*I48</f>
        <v/>
      </c>
      <c r="L48" s="8">
        <f>K48*J48</f>
        <v/>
      </c>
      <c r="M48" s="8">
        <f>K48-L48</f>
        <v/>
      </c>
      <c r="N48" s="8">
        <f>IF(F48="Laptop",620,IF(F48="Headphones",28,IF(F48="Keyboard",22,IF(F48="Office Chair",95,IF(F48="Desk",110,IF(F48="Notebook Pack",4,IF(F48="Pen Set",3,IF(F48="Water Bottle",8,IF(F48="Backpack",24,IF(F48="Monitor",140,0))))))))))</f>
        <v/>
      </c>
      <c r="O48" s="8">
        <f>M48-(H48*N48)</f>
        <v/>
      </c>
      <c r="P48" s="2" t="inlineStr">
        <is>
          <t>Checked; no issue detected</t>
        </is>
      </c>
    </row>
    <row r="49">
      <c r="A49" s="2" t="inlineStr">
        <is>
          <t>S048</t>
        </is>
      </c>
      <c r="B49" s="7" t="n">
        <v>45863</v>
      </c>
      <c r="C49" s="2" t="inlineStr">
        <is>
          <t>South</t>
        </is>
      </c>
      <c r="D49" s="2" t="inlineStr">
        <is>
          <t>Ishaan</t>
        </is>
      </c>
      <c r="E49" s="2" t="inlineStr">
        <is>
          <t>Retail</t>
        </is>
      </c>
      <c r="F49" s="2" t="inlineStr">
        <is>
          <t>Pen Set</t>
        </is>
      </c>
      <c r="G49" s="2" t="inlineStr">
        <is>
          <t>Stationery</t>
        </is>
      </c>
      <c r="H49" s="2" t="n">
        <v>8</v>
      </c>
      <c r="I49" s="8" t="n">
        <v>7.34</v>
      </c>
      <c r="J49" s="9" t="n">
        <v>0.05</v>
      </c>
      <c r="K49" s="8">
        <f>H49*I49</f>
        <v/>
      </c>
      <c r="L49" s="8">
        <f>K49*J49</f>
        <v/>
      </c>
      <c r="M49" s="8">
        <f>K49-L49</f>
        <v/>
      </c>
      <c r="N49" s="8">
        <f>IF(F49="Laptop",620,IF(F49="Headphones",28,IF(F49="Keyboard",22,IF(F49="Office Chair",95,IF(F49="Desk",110,IF(F49="Notebook Pack",4,IF(F49="Pen Set",3,IF(F49="Water Bottle",8,IF(F49="Backpack",24,IF(F49="Monitor",140,0))))))))))</f>
        <v/>
      </c>
      <c r="O49" s="8">
        <f>M49-(H49*N49)</f>
        <v/>
      </c>
      <c r="P49" s="2" t="inlineStr">
        <is>
          <t>Checked; no issue detected</t>
        </is>
      </c>
    </row>
    <row r="50">
      <c r="A50" s="2" t="inlineStr">
        <is>
          <t>S049</t>
        </is>
      </c>
      <c r="B50" s="7" t="n">
        <v>45767</v>
      </c>
      <c r="C50" s="2" t="inlineStr">
        <is>
          <t>West</t>
        </is>
      </c>
      <c r="D50" s="2" t="inlineStr">
        <is>
          <t>Ananya</t>
        </is>
      </c>
      <c r="E50" s="2" t="inlineStr">
        <is>
          <t>Retail</t>
        </is>
      </c>
      <c r="F50" s="2" t="inlineStr">
        <is>
          <t>Keyboard</t>
        </is>
      </c>
      <c r="G50" s="2" t="inlineStr">
        <is>
          <t>Electronics</t>
        </is>
      </c>
      <c r="H50" s="2" t="n">
        <v>8</v>
      </c>
      <c r="I50" s="8" t="n">
        <v>41.84</v>
      </c>
      <c r="J50" s="9" t="n">
        <v>0</v>
      </c>
      <c r="K50" s="8">
        <f>H50*I50</f>
        <v/>
      </c>
      <c r="L50" s="8">
        <f>K50*J50</f>
        <v/>
      </c>
      <c r="M50" s="8">
        <f>K50-L50</f>
        <v/>
      </c>
      <c r="N50" s="8">
        <f>IF(F50="Laptop",620,IF(F50="Headphones",28,IF(F50="Keyboard",22,IF(F50="Office Chair",95,IF(F50="Desk",110,IF(F50="Notebook Pack",4,IF(F50="Pen Set",3,IF(F50="Water Bottle",8,IF(F50="Backpack",24,IF(F50="Monitor",140,0))))))))))</f>
        <v/>
      </c>
      <c r="O50" s="8">
        <f>M50-(H50*N50)</f>
        <v/>
      </c>
      <c r="P50" s="2" t="inlineStr">
        <is>
          <t>Checked; no issue detected</t>
        </is>
      </c>
    </row>
    <row r="51">
      <c r="A51" s="2" t="inlineStr">
        <is>
          <t>S050</t>
        </is>
      </c>
      <c r="B51" s="7" t="n">
        <v>45708</v>
      </c>
      <c r="C51" s="2" t="inlineStr">
        <is>
          <t>South</t>
        </is>
      </c>
      <c r="D51" s="2" t="inlineStr">
        <is>
          <t>Meera</t>
        </is>
      </c>
      <c r="E51" s="2" t="inlineStr">
        <is>
          <t>Online</t>
        </is>
      </c>
      <c r="F51" s="2" t="inlineStr">
        <is>
          <t>Keyboard</t>
        </is>
      </c>
      <c r="G51" s="2" t="inlineStr">
        <is>
          <t>Electronics</t>
        </is>
      </c>
      <c r="H51" s="2" t="n">
        <v>8</v>
      </c>
      <c r="I51" s="8" t="n">
        <v>40.62</v>
      </c>
      <c r="J51" s="9" t="n">
        <v>0</v>
      </c>
      <c r="K51" s="8">
        <f>H51*I51</f>
        <v/>
      </c>
      <c r="L51" s="8">
        <f>K51*J51</f>
        <v/>
      </c>
      <c r="M51" s="8">
        <f>K51-L51</f>
        <v/>
      </c>
      <c r="N51" s="8">
        <f>IF(F51="Laptop",620,IF(F51="Headphones",28,IF(F51="Keyboard",22,IF(F51="Office Chair",95,IF(F51="Desk",110,IF(F51="Notebook Pack",4,IF(F51="Pen Set",3,IF(F51="Water Bottle",8,IF(F51="Backpack",24,IF(F51="Monitor",140,0))))))))))</f>
        <v/>
      </c>
      <c r="O51" s="8">
        <f>M51-(H51*N51)</f>
        <v/>
      </c>
      <c r="P51" s="2" t="inlineStr">
        <is>
          <t>Checked; no issue detected</t>
        </is>
      </c>
    </row>
    <row r="52">
      <c r="A52" s="2" t="inlineStr">
        <is>
          <t>S051</t>
        </is>
      </c>
      <c r="B52" s="7" t="n">
        <v>45789</v>
      </c>
      <c r="C52" s="2" t="inlineStr">
        <is>
          <t>North</t>
        </is>
      </c>
      <c r="D52" s="2" t="inlineStr">
        <is>
          <t>Aarav</t>
        </is>
      </c>
      <c r="E52" s="2" t="inlineStr">
        <is>
          <t>Retail</t>
        </is>
      </c>
      <c r="F52" s="2" t="inlineStr">
        <is>
          <t>Keyboard</t>
        </is>
      </c>
      <c r="G52" s="2" t="inlineStr">
        <is>
          <t>Electronics</t>
        </is>
      </c>
      <c r="H52" s="2" t="n">
        <v>1</v>
      </c>
      <c r="I52" s="8" t="n">
        <v>40.77</v>
      </c>
      <c r="J52" s="9" t="n">
        <v>0</v>
      </c>
      <c r="K52" s="8">
        <f>H52*I52</f>
        <v/>
      </c>
      <c r="L52" s="8">
        <f>K52*J52</f>
        <v/>
      </c>
      <c r="M52" s="8">
        <f>K52-L52</f>
        <v/>
      </c>
      <c r="N52" s="8">
        <f>IF(F52="Laptop",620,IF(F52="Headphones",28,IF(F52="Keyboard",22,IF(F52="Office Chair",95,IF(F52="Desk",110,IF(F52="Notebook Pack",4,IF(F52="Pen Set",3,IF(F52="Water Bottle",8,IF(F52="Backpack",24,IF(F52="Monitor",140,0))))))))))</f>
        <v/>
      </c>
      <c r="O52" s="8">
        <f>M52-(H52*N52)</f>
        <v/>
      </c>
      <c r="P52" s="2" t="inlineStr">
        <is>
          <t>Checked; no issue detected</t>
        </is>
      </c>
    </row>
    <row r="53">
      <c r="A53" s="2" t="inlineStr">
        <is>
          <t>S052</t>
        </is>
      </c>
      <c r="B53" s="7" t="n">
        <v>45971</v>
      </c>
      <c r="C53" s="2" t="inlineStr">
        <is>
          <t>East</t>
        </is>
      </c>
      <c r="D53" s="2" t="inlineStr">
        <is>
          <t>Kabir</t>
        </is>
      </c>
      <c r="E53" s="2" t="inlineStr">
        <is>
          <t>Online</t>
        </is>
      </c>
      <c r="F53" s="2" t="inlineStr">
        <is>
          <t>Desk</t>
        </is>
      </c>
      <c r="G53" s="2" t="inlineStr">
        <is>
          <t>Furniture</t>
        </is>
      </c>
      <c r="H53" s="2" t="n">
        <v>9</v>
      </c>
      <c r="I53" s="8" t="n">
        <v>193.92</v>
      </c>
      <c r="J53" s="9" t="n">
        <v>0.05</v>
      </c>
      <c r="K53" s="8">
        <f>H53*I53</f>
        <v/>
      </c>
      <c r="L53" s="8">
        <f>K53*J53</f>
        <v/>
      </c>
      <c r="M53" s="8">
        <f>K53-L53</f>
        <v/>
      </c>
      <c r="N53" s="8">
        <f>IF(F53="Laptop",620,IF(F53="Headphones",28,IF(F53="Keyboard",22,IF(F53="Office Chair",95,IF(F53="Desk",110,IF(F53="Notebook Pack",4,IF(F53="Pen Set",3,IF(F53="Water Bottle",8,IF(F53="Backpack",24,IF(F53="Monitor",140,0))))))))))</f>
        <v/>
      </c>
      <c r="O53" s="8">
        <f>M53-(H53*N53)</f>
        <v/>
      </c>
      <c r="P53" s="2" t="inlineStr">
        <is>
          <t>Checked; no issue detected</t>
        </is>
      </c>
    </row>
    <row r="54">
      <c r="A54" s="2" t="inlineStr">
        <is>
          <t>S053</t>
        </is>
      </c>
      <c r="B54" s="7" t="n">
        <v>45989</v>
      </c>
      <c r="C54" s="2" t="inlineStr">
        <is>
          <t>North</t>
        </is>
      </c>
      <c r="D54" s="2" t="inlineStr">
        <is>
          <t>Ananya</t>
        </is>
      </c>
      <c r="E54" s="2" t="inlineStr">
        <is>
          <t>Online</t>
        </is>
      </c>
      <c r="F54" s="2" t="inlineStr">
        <is>
          <t>Laptop</t>
        </is>
      </c>
      <c r="G54" s="2" t="inlineStr">
        <is>
          <t>Electronics</t>
        </is>
      </c>
      <c r="H54" s="2" t="n">
        <v>12</v>
      </c>
      <c r="I54" s="8" t="n">
        <v>824.41</v>
      </c>
      <c r="J54" s="9" t="n">
        <v>0.15</v>
      </c>
      <c r="K54" s="8">
        <f>H54*I54</f>
        <v/>
      </c>
      <c r="L54" s="8">
        <f>K54*J54</f>
        <v/>
      </c>
      <c r="M54" s="8">
        <f>K54-L54</f>
        <v/>
      </c>
      <c r="N54" s="8">
        <f>IF(F54="Laptop",620,IF(F54="Headphones",28,IF(F54="Keyboard",22,IF(F54="Office Chair",95,IF(F54="Desk",110,IF(F54="Notebook Pack",4,IF(F54="Pen Set",3,IF(F54="Water Bottle",8,IF(F54="Backpack",24,IF(F54="Monitor",140,0))))))))))</f>
        <v/>
      </c>
      <c r="O54" s="8">
        <f>M54-(H54*N54)</f>
        <v/>
      </c>
      <c r="P54" s="2" t="inlineStr">
        <is>
          <t>Checked; no issue detected</t>
        </is>
      </c>
    </row>
    <row r="55">
      <c r="A55" s="2" t="inlineStr">
        <is>
          <t>S054</t>
        </is>
      </c>
      <c r="B55" s="7" t="n">
        <v>45798</v>
      </c>
      <c r="C55" s="2" t="inlineStr">
        <is>
          <t>South</t>
        </is>
      </c>
      <c r="D55" s="2" t="inlineStr">
        <is>
          <t>Kabir</t>
        </is>
      </c>
      <c r="E55" s="2" t="inlineStr">
        <is>
          <t>Online</t>
        </is>
      </c>
      <c r="F55" s="2" t="inlineStr">
        <is>
          <t>Desk</t>
        </is>
      </c>
      <c r="G55" s="2" t="inlineStr">
        <is>
          <t>Furniture</t>
        </is>
      </c>
      <c r="H55" s="2" t="n">
        <v>10</v>
      </c>
      <c r="I55" s="8" t="n">
        <v>200.66</v>
      </c>
      <c r="J55" s="9" t="n">
        <v>0.05</v>
      </c>
      <c r="K55" s="8">
        <f>H55*I55</f>
        <v/>
      </c>
      <c r="L55" s="8">
        <f>K55*J55</f>
        <v/>
      </c>
      <c r="M55" s="8">
        <f>K55-L55</f>
        <v/>
      </c>
      <c r="N55" s="8">
        <f>IF(F55="Laptop",620,IF(F55="Headphones",28,IF(F55="Keyboard",22,IF(F55="Office Chair",95,IF(F55="Desk",110,IF(F55="Notebook Pack",4,IF(F55="Pen Set",3,IF(F55="Water Bottle",8,IF(F55="Backpack",24,IF(F55="Monitor",140,0))))))))))</f>
        <v/>
      </c>
      <c r="O55" s="8">
        <f>M55-(H55*N55)</f>
        <v/>
      </c>
      <c r="P55" s="2" t="inlineStr">
        <is>
          <t>Checked; no issue detected</t>
        </is>
      </c>
    </row>
    <row r="56">
      <c r="A56" s="2" t="inlineStr">
        <is>
          <t>S055</t>
        </is>
      </c>
      <c r="B56" s="7" t="n">
        <v>45680</v>
      </c>
      <c r="C56" s="2" t="inlineStr">
        <is>
          <t>West</t>
        </is>
      </c>
      <c r="D56" s="2" t="inlineStr">
        <is>
          <t>Ishaan</t>
        </is>
      </c>
      <c r="E56" s="2" t="inlineStr">
        <is>
          <t>Online</t>
        </is>
      </c>
      <c r="F56" s="2" t="inlineStr">
        <is>
          <t>Notebook Pack</t>
        </is>
      </c>
      <c r="G56" s="2" t="inlineStr">
        <is>
          <t>Stationery</t>
        </is>
      </c>
      <c r="H56" s="2" t="n">
        <v>6</v>
      </c>
      <c r="I56" s="8" t="n">
        <v>8.93</v>
      </c>
      <c r="J56" s="9" t="n">
        <v>0.1</v>
      </c>
      <c r="K56" s="8">
        <f>H56*I56</f>
        <v/>
      </c>
      <c r="L56" s="8">
        <f>K56*J56</f>
        <v/>
      </c>
      <c r="M56" s="8">
        <f>K56-L56</f>
        <v/>
      </c>
      <c r="N56" s="8">
        <f>IF(F56="Laptop",620,IF(F56="Headphones",28,IF(F56="Keyboard",22,IF(F56="Office Chair",95,IF(F56="Desk",110,IF(F56="Notebook Pack",4,IF(F56="Pen Set",3,IF(F56="Water Bottle",8,IF(F56="Backpack",24,IF(F56="Monitor",140,0))))))))))</f>
        <v/>
      </c>
      <c r="O56" s="8">
        <f>M56-(H56*N56)</f>
        <v/>
      </c>
      <c r="P56" s="2" t="inlineStr">
        <is>
          <t>Checked; no issue detected</t>
        </is>
      </c>
    </row>
    <row r="57">
      <c r="A57" s="2" t="inlineStr">
        <is>
          <t>S056</t>
        </is>
      </c>
      <c r="B57" s="7" t="n">
        <v>45662</v>
      </c>
      <c r="C57" s="2" t="inlineStr">
        <is>
          <t>South</t>
        </is>
      </c>
      <c r="D57" s="2" t="inlineStr">
        <is>
          <t>Meera</t>
        </is>
      </c>
      <c r="E57" s="2" t="inlineStr">
        <is>
          <t>Online</t>
        </is>
      </c>
      <c r="F57" s="2" t="inlineStr">
        <is>
          <t>Monitor</t>
        </is>
      </c>
      <c r="G57" s="2" t="inlineStr">
        <is>
          <t>Electronics</t>
        </is>
      </c>
      <c r="H57" s="2" t="n">
        <v>2</v>
      </c>
      <c r="I57" s="8" t="n">
        <v>230.6</v>
      </c>
      <c r="J57" s="9" t="n">
        <v>0.05</v>
      </c>
      <c r="K57" s="8">
        <f>H57*I57</f>
        <v/>
      </c>
      <c r="L57" s="8">
        <f>K57*J57</f>
        <v/>
      </c>
      <c r="M57" s="8">
        <f>K57-L57</f>
        <v/>
      </c>
      <c r="N57" s="8">
        <f>IF(F57="Laptop",620,IF(F57="Headphones",28,IF(F57="Keyboard",22,IF(F57="Office Chair",95,IF(F57="Desk",110,IF(F57="Notebook Pack",4,IF(F57="Pen Set",3,IF(F57="Water Bottle",8,IF(F57="Backpack",24,IF(F57="Monitor",140,0))))))))))</f>
        <v/>
      </c>
      <c r="O57" s="8">
        <f>M57-(H57*N57)</f>
        <v/>
      </c>
      <c r="P57" s="2" t="inlineStr">
        <is>
          <t>Checked; no issue detected</t>
        </is>
      </c>
    </row>
    <row r="58">
      <c r="A58" s="2" t="inlineStr">
        <is>
          <t>S057</t>
        </is>
      </c>
      <c r="B58" s="7" t="n">
        <v>45970</v>
      </c>
      <c r="C58" s="2" t="inlineStr">
        <is>
          <t>North</t>
        </is>
      </c>
      <c r="D58" s="2" t="inlineStr">
        <is>
          <t>Ananya</t>
        </is>
      </c>
      <c r="E58" s="2" t="inlineStr">
        <is>
          <t>Wholesale</t>
        </is>
      </c>
      <c r="F58" s="2" t="inlineStr">
        <is>
          <t>Backpack</t>
        </is>
      </c>
      <c r="G58" s="2" t="inlineStr">
        <is>
          <t>Accessories</t>
        </is>
      </c>
      <c r="H58" s="2" t="n">
        <v>2</v>
      </c>
      <c r="I58" s="8" t="n">
        <v>49.44</v>
      </c>
      <c r="J58" s="9" t="n">
        <v>0</v>
      </c>
      <c r="K58" s="8">
        <f>H58*I58</f>
        <v/>
      </c>
      <c r="L58" s="8">
        <f>K58*J58</f>
        <v/>
      </c>
      <c r="M58" s="8">
        <f>K58-L58</f>
        <v/>
      </c>
      <c r="N58" s="8">
        <f>IF(F58="Laptop",620,IF(F58="Headphones",28,IF(F58="Keyboard",22,IF(F58="Office Chair",95,IF(F58="Desk",110,IF(F58="Notebook Pack",4,IF(F58="Pen Set",3,IF(F58="Water Bottle",8,IF(F58="Backpack",24,IF(F58="Monitor",140,0))))))))))</f>
        <v/>
      </c>
      <c r="O58" s="8">
        <f>M58-(H58*N58)</f>
        <v/>
      </c>
      <c r="P58" s="2" t="inlineStr">
        <is>
          <t>Checked; no issue detected</t>
        </is>
      </c>
    </row>
    <row r="59">
      <c r="A59" s="2" t="inlineStr">
        <is>
          <t>S058</t>
        </is>
      </c>
      <c r="B59" s="7" t="n">
        <v>45894</v>
      </c>
      <c r="C59" s="2" t="inlineStr">
        <is>
          <t>West</t>
        </is>
      </c>
      <c r="D59" s="2" t="inlineStr">
        <is>
          <t>Aarav</t>
        </is>
      </c>
      <c r="E59" s="2" t="inlineStr">
        <is>
          <t>Wholesale</t>
        </is>
      </c>
      <c r="F59" s="2" t="inlineStr">
        <is>
          <t>Keyboard</t>
        </is>
      </c>
      <c r="G59" s="2" t="inlineStr">
        <is>
          <t>Electronics</t>
        </is>
      </c>
      <c r="H59" s="2" t="n">
        <v>11</v>
      </c>
      <c r="I59" s="8" t="n">
        <v>42.28</v>
      </c>
      <c r="J59" s="9" t="n">
        <v>0</v>
      </c>
      <c r="K59" s="8">
        <f>H59*I59</f>
        <v/>
      </c>
      <c r="L59" s="8">
        <f>K59*J59</f>
        <v/>
      </c>
      <c r="M59" s="8">
        <f>K59-L59</f>
        <v/>
      </c>
      <c r="N59" s="8">
        <f>IF(F59="Laptop",620,IF(F59="Headphones",28,IF(F59="Keyboard",22,IF(F59="Office Chair",95,IF(F59="Desk",110,IF(F59="Notebook Pack",4,IF(F59="Pen Set",3,IF(F59="Water Bottle",8,IF(F59="Backpack",24,IF(F59="Monitor",140,0))))))))))</f>
        <v/>
      </c>
      <c r="O59" s="8">
        <f>M59-(H59*N59)</f>
        <v/>
      </c>
      <c r="P59" s="2" t="inlineStr">
        <is>
          <t>Checked; no issue detected</t>
        </is>
      </c>
    </row>
    <row r="60">
      <c r="A60" s="2" t="inlineStr">
        <is>
          <t>S059</t>
        </is>
      </c>
      <c r="B60" s="7" t="n">
        <v>45795</v>
      </c>
      <c r="C60" s="2" t="inlineStr">
        <is>
          <t>South</t>
        </is>
      </c>
      <c r="D60" s="2" t="inlineStr">
        <is>
          <t>Meera</t>
        </is>
      </c>
      <c r="E60" s="2" t="inlineStr">
        <is>
          <t>Online</t>
        </is>
      </c>
      <c r="F60" s="2" t="inlineStr">
        <is>
          <t>Laptop</t>
        </is>
      </c>
      <c r="G60" s="2" t="inlineStr">
        <is>
          <t>Electronics</t>
        </is>
      </c>
      <c r="H60" s="2" t="n">
        <v>10</v>
      </c>
      <c r="I60" s="8" t="n">
        <v>882.54</v>
      </c>
      <c r="J60" s="9" t="n">
        <v>0</v>
      </c>
      <c r="K60" s="8">
        <f>H60*I60</f>
        <v/>
      </c>
      <c r="L60" s="8">
        <f>K60*J60</f>
        <v/>
      </c>
      <c r="M60" s="8">
        <f>K60-L60</f>
        <v/>
      </c>
      <c r="N60" s="8">
        <f>IF(F60="Laptop",620,IF(F60="Headphones",28,IF(F60="Keyboard",22,IF(F60="Office Chair",95,IF(F60="Desk",110,IF(F60="Notebook Pack",4,IF(F60="Pen Set",3,IF(F60="Water Bottle",8,IF(F60="Backpack",24,IF(F60="Monitor",140,0))))))))))</f>
        <v/>
      </c>
      <c r="O60" s="8">
        <f>M60-(H60*N60)</f>
        <v/>
      </c>
      <c r="P60" s="2" t="inlineStr">
        <is>
          <t>Checked; no issue detected</t>
        </is>
      </c>
    </row>
    <row r="61">
      <c r="A61" s="2" t="inlineStr">
        <is>
          <t>S060</t>
        </is>
      </c>
      <c r="B61" s="7" t="n">
        <v>45816</v>
      </c>
      <c r="C61" s="2" t="inlineStr">
        <is>
          <t>South</t>
        </is>
      </c>
      <c r="D61" s="2" t="inlineStr">
        <is>
          <t>Meera</t>
        </is>
      </c>
      <c r="E61" s="2" t="inlineStr">
        <is>
          <t>Online</t>
        </is>
      </c>
      <c r="F61" s="2" t="inlineStr">
        <is>
          <t>Desk</t>
        </is>
      </c>
      <c r="G61" s="2" t="inlineStr">
        <is>
          <t>Furniture</t>
        </is>
      </c>
      <c r="H61" s="2" t="n">
        <v>5</v>
      </c>
      <c r="I61" s="8" t="n">
        <v>185.5</v>
      </c>
      <c r="J61" s="9" t="n">
        <v>0.15</v>
      </c>
      <c r="K61" s="8">
        <f>H61*I61</f>
        <v/>
      </c>
      <c r="L61" s="8">
        <f>K61*J61</f>
        <v/>
      </c>
      <c r="M61" s="8">
        <f>K61-L61</f>
        <v/>
      </c>
      <c r="N61" s="8">
        <f>IF(F61="Laptop",620,IF(F61="Headphones",28,IF(F61="Keyboard",22,IF(F61="Office Chair",95,IF(F61="Desk",110,IF(F61="Notebook Pack",4,IF(F61="Pen Set",3,IF(F61="Water Bottle",8,IF(F61="Backpack",24,IF(F61="Monitor",140,0))))))))))</f>
        <v/>
      </c>
      <c r="O61" s="8">
        <f>M61-(H61*N61)</f>
        <v/>
      </c>
      <c r="P61" s="2" t="inlineStr">
        <is>
          <t>Checked; no issue detected</t>
        </is>
      </c>
    </row>
    <row r="62">
      <c r="A62" s="2" t="inlineStr">
        <is>
          <t>S061</t>
        </is>
      </c>
      <c r="B62" s="7" t="n">
        <v>45854</v>
      </c>
      <c r="C62" s="2" t="inlineStr">
        <is>
          <t>East</t>
        </is>
      </c>
      <c r="D62" s="2" t="inlineStr">
        <is>
          <t>Kabir</t>
        </is>
      </c>
      <c r="E62" s="2" t="inlineStr">
        <is>
          <t>Retail</t>
        </is>
      </c>
      <c r="F62" s="2" t="inlineStr">
        <is>
          <t>Laptop</t>
        </is>
      </c>
      <c r="G62" s="2" t="inlineStr">
        <is>
          <t>Electronics</t>
        </is>
      </c>
      <c r="H62" s="2" t="n">
        <v>11</v>
      </c>
      <c r="I62" s="8" t="n">
        <v>802.86</v>
      </c>
      <c r="J62" s="9" t="n">
        <v>0.1</v>
      </c>
      <c r="K62" s="8">
        <f>H62*I62</f>
        <v/>
      </c>
      <c r="L62" s="8">
        <f>K62*J62</f>
        <v/>
      </c>
      <c r="M62" s="8">
        <f>K62-L62</f>
        <v/>
      </c>
      <c r="N62" s="8">
        <f>IF(F62="Laptop",620,IF(F62="Headphones",28,IF(F62="Keyboard",22,IF(F62="Office Chair",95,IF(F62="Desk",110,IF(F62="Notebook Pack",4,IF(F62="Pen Set",3,IF(F62="Water Bottle",8,IF(F62="Backpack",24,IF(F62="Monitor",140,0))))))))))</f>
        <v/>
      </c>
      <c r="O62" s="8">
        <f>M62-(H62*N62)</f>
        <v/>
      </c>
      <c r="P62" s="2" t="inlineStr">
        <is>
          <t>Checked; no issue detected</t>
        </is>
      </c>
    </row>
    <row r="63">
      <c r="A63" s="2" t="inlineStr">
        <is>
          <t>S062</t>
        </is>
      </c>
      <c r="B63" s="7" t="n">
        <v>45893</v>
      </c>
      <c r="C63" s="2" t="inlineStr">
        <is>
          <t>West</t>
        </is>
      </c>
      <c r="D63" s="2" t="inlineStr">
        <is>
          <t>Ishaan</t>
        </is>
      </c>
      <c r="E63" s="2" t="inlineStr">
        <is>
          <t>Wholesale</t>
        </is>
      </c>
      <c r="F63" s="2" t="inlineStr">
        <is>
          <t>Laptop</t>
        </is>
      </c>
      <c r="G63" s="2" t="inlineStr">
        <is>
          <t>Electronics</t>
        </is>
      </c>
      <c r="H63" s="2" t="n">
        <v>8</v>
      </c>
      <c r="I63" s="8" t="n">
        <v>854.0700000000001</v>
      </c>
      <c r="J63" s="9" t="n">
        <v>0</v>
      </c>
      <c r="K63" s="8">
        <f>H63*I63</f>
        <v/>
      </c>
      <c r="L63" s="8">
        <f>K63*J63</f>
        <v/>
      </c>
      <c r="M63" s="8">
        <f>K63-L63</f>
        <v/>
      </c>
      <c r="N63" s="8">
        <f>IF(F63="Laptop",620,IF(F63="Headphones",28,IF(F63="Keyboard",22,IF(F63="Office Chair",95,IF(F63="Desk",110,IF(F63="Notebook Pack",4,IF(F63="Pen Set",3,IF(F63="Water Bottle",8,IF(F63="Backpack",24,IF(F63="Monitor",140,0))))))))))</f>
        <v/>
      </c>
      <c r="O63" s="8">
        <f>M63-(H63*N63)</f>
        <v/>
      </c>
      <c r="P63" s="2" t="inlineStr">
        <is>
          <t>Checked; no issue detected</t>
        </is>
      </c>
    </row>
    <row r="64">
      <c r="A64" s="2" t="inlineStr">
        <is>
          <t>S063</t>
        </is>
      </c>
      <c r="B64" s="7" t="n">
        <v>45720</v>
      </c>
      <c r="C64" s="2" t="inlineStr">
        <is>
          <t>North</t>
        </is>
      </c>
      <c r="D64" s="2" t="inlineStr">
        <is>
          <t>Ananya</t>
        </is>
      </c>
      <c r="E64" s="2" t="inlineStr">
        <is>
          <t>Retail</t>
        </is>
      </c>
      <c r="F64" s="2" t="inlineStr">
        <is>
          <t>Monitor</t>
        </is>
      </c>
      <c r="G64" s="2" t="inlineStr">
        <is>
          <t>Electronics</t>
        </is>
      </c>
      <c r="H64" s="2" t="n">
        <v>11</v>
      </c>
      <c r="I64" s="8" t="n">
        <v>238.44</v>
      </c>
      <c r="J64" s="9" t="n">
        <v>0</v>
      </c>
      <c r="K64" s="8">
        <f>H64*I64</f>
        <v/>
      </c>
      <c r="L64" s="8">
        <f>K64*J64</f>
        <v/>
      </c>
      <c r="M64" s="8">
        <f>K64-L64</f>
        <v/>
      </c>
      <c r="N64" s="8">
        <f>IF(F64="Laptop",620,IF(F64="Headphones",28,IF(F64="Keyboard",22,IF(F64="Office Chair",95,IF(F64="Desk",110,IF(F64="Notebook Pack",4,IF(F64="Pen Set",3,IF(F64="Water Bottle",8,IF(F64="Backpack",24,IF(F64="Monitor",140,0))))))))))</f>
        <v/>
      </c>
      <c r="O64" s="8">
        <f>M64-(H64*N64)</f>
        <v/>
      </c>
      <c r="P64" s="2" t="inlineStr">
        <is>
          <t>Checked; no issue detected</t>
        </is>
      </c>
    </row>
    <row r="65">
      <c r="A65" s="2" t="inlineStr">
        <is>
          <t>S064</t>
        </is>
      </c>
      <c r="B65" s="7" t="n">
        <v>46006</v>
      </c>
      <c r="C65" s="2" t="inlineStr">
        <is>
          <t>East</t>
        </is>
      </c>
      <c r="D65" s="2" t="inlineStr">
        <is>
          <t>Ananya</t>
        </is>
      </c>
      <c r="E65" s="2" t="inlineStr">
        <is>
          <t>Retail</t>
        </is>
      </c>
      <c r="F65" s="2" t="inlineStr">
        <is>
          <t>Laptop</t>
        </is>
      </c>
      <c r="G65" s="2" t="inlineStr">
        <is>
          <t>Electronics</t>
        </is>
      </c>
      <c r="H65" s="2" t="n">
        <v>3</v>
      </c>
      <c r="I65" s="8" t="n">
        <v>871.23</v>
      </c>
      <c r="J65" s="9" t="n">
        <v>0.15</v>
      </c>
      <c r="K65" s="8">
        <f>H65*I65</f>
        <v/>
      </c>
      <c r="L65" s="8">
        <f>K65*J65</f>
        <v/>
      </c>
      <c r="M65" s="8">
        <f>K65-L65</f>
        <v/>
      </c>
      <c r="N65" s="8">
        <f>IF(F65="Laptop",620,IF(F65="Headphones",28,IF(F65="Keyboard",22,IF(F65="Office Chair",95,IF(F65="Desk",110,IF(F65="Notebook Pack",4,IF(F65="Pen Set",3,IF(F65="Water Bottle",8,IF(F65="Backpack",24,IF(F65="Monitor",140,0))))))))))</f>
        <v/>
      </c>
      <c r="O65" s="8">
        <f>M65-(H65*N65)</f>
        <v/>
      </c>
      <c r="P65" s="2" t="inlineStr">
        <is>
          <t>Checked; no issue detected</t>
        </is>
      </c>
    </row>
    <row r="66">
      <c r="A66" s="2" t="inlineStr">
        <is>
          <t>S065</t>
        </is>
      </c>
      <c r="B66" s="7" t="n">
        <v>45701</v>
      </c>
      <c r="C66" s="2" t="inlineStr">
        <is>
          <t>West</t>
        </is>
      </c>
      <c r="D66" s="2" t="inlineStr">
        <is>
          <t>Meera</t>
        </is>
      </c>
      <c r="E66" s="2" t="inlineStr">
        <is>
          <t>Wholesale</t>
        </is>
      </c>
      <c r="F66" s="2" t="inlineStr">
        <is>
          <t>Headphones</t>
        </is>
      </c>
      <c r="G66" s="2" t="inlineStr">
        <is>
          <t>Electronics</t>
        </is>
      </c>
      <c r="H66" s="2" t="n">
        <v>7</v>
      </c>
      <c r="I66" s="8" t="n">
        <v>54.92</v>
      </c>
      <c r="J66" s="9" t="n">
        <v>0</v>
      </c>
      <c r="K66" s="8">
        <f>H66*I66</f>
        <v/>
      </c>
      <c r="L66" s="8">
        <f>K66*J66</f>
        <v/>
      </c>
      <c r="M66" s="8">
        <f>K66-L66</f>
        <v/>
      </c>
      <c r="N66" s="8">
        <f>IF(F66="Laptop",620,IF(F66="Headphones",28,IF(F66="Keyboard",22,IF(F66="Office Chair",95,IF(F66="Desk",110,IF(F66="Notebook Pack",4,IF(F66="Pen Set",3,IF(F66="Water Bottle",8,IF(F66="Backpack",24,IF(F66="Monitor",140,0))))))))))</f>
        <v/>
      </c>
      <c r="O66" s="8">
        <f>M66-(H66*N66)</f>
        <v/>
      </c>
      <c r="P66" s="2" t="inlineStr">
        <is>
          <t>Checked; no issue detected</t>
        </is>
      </c>
    </row>
    <row r="67">
      <c r="A67" s="2" t="inlineStr">
        <is>
          <t>S066</t>
        </is>
      </c>
      <c r="B67" s="7" t="n">
        <v>45792</v>
      </c>
      <c r="C67" s="2" t="inlineStr">
        <is>
          <t>West</t>
        </is>
      </c>
      <c r="D67" s="2" t="inlineStr">
        <is>
          <t>Kabir</t>
        </is>
      </c>
      <c r="E67" s="2" t="inlineStr">
        <is>
          <t>Online</t>
        </is>
      </c>
      <c r="F67" s="2" t="inlineStr">
        <is>
          <t>Monitor</t>
        </is>
      </c>
      <c r="G67" s="2" t="inlineStr">
        <is>
          <t>Electronics</t>
        </is>
      </c>
      <c r="H67" s="2" t="n">
        <v>4</v>
      </c>
      <c r="I67" s="8" t="n">
        <v>230.05</v>
      </c>
      <c r="J67" s="9" t="n">
        <v>0.15</v>
      </c>
      <c r="K67" s="8">
        <f>H67*I67</f>
        <v/>
      </c>
      <c r="L67" s="8">
        <f>K67*J67</f>
        <v/>
      </c>
      <c r="M67" s="8">
        <f>K67-L67</f>
        <v/>
      </c>
      <c r="N67" s="8">
        <f>IF(F67="Laptop",620,IF(F67="Headphones",28,IF(F67="Keyboard",22,IF(F67="Office Chair",95,IF(F67="Desk",110,IF(F67="Notebook Pack",4,IF(F67="Pen Set",3,IF(F67="Water Bottle",8,IF(F67="Backpack",24,IF(F67="Monitor",140,0))))))))))</f>
        <v/>
      </c>
      <c r="O67" s="8">
        <f>M67-(H67*N67)</f>
        <v/>
      </c>
      <c r="P67" s="2" t="inlineStr">
        <is>
          <t>Checked; no issue detected</t>
        </is>
      </c>
    </row>
    <row r="68">
      <c r="A68" s="2" t="inlineStr">
        <is>
          <t>S067</t>
        </is>
      </c>
      <c r="B68" s="7" t="n">
        <v>45771</v>
      </c>
      <c r="C68" s="2" t="inlineStr">
        <is>
          <t>South</t>
        </is>
      </c>
      <c r="D68" s="2" t="inlineStr">
        <is>
          <t>Kabir</t>
        </is>
      </c>
      <c r="E68" s="2" t="inlineStr">
        <is>
          <t>Online</t>
        </is>
      </c>
      <c r="F68" s="2" t="inlineStr">
        <is>
          <t>Notebook Pack</t>
        </is>
      </c>
      <c r="G68" s="2" t="inlineStr">
        <is>
          <t>Stationery</t>
        </is>
      </c>
      <c r="H68" s="2" t="n">
        <v>4</v>
      </c>
      <c r="I68" s="8" t="n">
        <v>8.960000000000001</v>
      </c>
      <c r="J68" s="9" t="n">
        <v>0.05</v>
      </c>
      <c r="K68" s="8">
        <f>H68*I68</f>
        <v/>
      </c>
      <c r="L68" s="8">
        <f>K68*J68</f>
        <v/>
      </c>
      <c r="M68" s="8">
        <f>K68-L68</f>
        <v/>
      </c>
      <c r="N68" s="8">
        <f>IF(F68="Laptop",620,IF(F68="Headphones",28,IF(F68="Keyboard",22,IF(F68="Office Chair",95,IF(F68="Desk",110,IF(F68="Notebook Pack",4,IF(F68="Pen Set",3,IF(F68="Water Bottle",8,IF(F68="Backpack",24,IF(F68="Monitor",140,0))))))))))</f>
        <v/>
      </c>
      <c r="O68" s="8">
        <f>M68-(H68*N68)</f>
        <v/>
      </c>
      <c r="P68" s="2" t="inlineStr">
        <is>
          <t>Checked; no issue detected</t>
        </is>
      </c>
    </row>
    <row r="69">
      <c r="A69" s="2" t="inlineStr">
        <is>
          <t>S068</t>
        </is>
      </c>
      <c r="B69" s="7" t="n">
        <v>45762</v>
      </c>
      <c r="C69" s="2" t="inlineStr">
        <is>
          <t>East</t>
        </is>
      </c>
      <c r="D69" s="2" t="inlineStr">
        <is>
          <t>Meera</t>
        </is>
      </c>
      <c r="E69" s="2" t="inlineStr">
        <is>
          <t>Wholesale</t>
        </is>
      </c>
      <c r="F69" s="2" t="inlineStr">
        <is>
          <t>Backpack</t>
        </is>
      </c>
      <c r="G69" s="2" t="inlineStr">
        <is>
          <t>Accessories</t>
        </is>
      </c>
      <c r="H69" s="2" t="n">
        <v>8</v>
      </c>
      <c r="I69" s="8" t="n">
        <v>47.6</v>
      </c>
      <c r="J69" s="9" t="n">
        <v>0</v>
      </c>
      <c r="K69" s="8">
        <f>H69*I69</f>
        <v/>
      </c>
      <c r="L69" s="8">
        <f>K69*J69</f>
        <v/>
      </c>
      <c r="M69" s="8">
        <f>K69-L69</f>
        <v/>
      </c>
      <c r="N69" s="8">
        <f>IF(F69="Laptop",620,IF(F69="Headphones",28,IF(F69="Keyboard",22,IF(F69="Office Chair",95,IF(F69="Desk",110,IF(F69="Notebook Pack",4,IF(F69="Pen Set",3,IF(F69="Water Bottle",8,IF(F69="Backpack",24,IF(F69="Monitor",140,0))))))))))</f>
        <v/>
      </c>
      <c r="O69" s="8">
        <f>M69-(H69*N69)</f>
        <v/>
      </c>
      <c r="P69" s="2" t="inlineStr">
        <is>
          <t>Checked; no issue detected</t>
        </is>
      </c>
    </row>
    <row r="70">
      <c r="A70" s="2" t="inlineStr">
        <is>
          <t>S069</t>
        </is>
      </c>
      <c r="B70" s="7" t="n">
        <v>45684</v>
      </c>
      <c r="C70" s="2" t="inlineStr">
        <is>
          <t>North</t>
        </is>
      </c>
      <c r="D70" s="2" t="inlineStr">
        <is>
          <t>Ishaan</t>
        </is>
      </c>
      <c r="E70" s="2" t="inlineStr">
        <is>
          <t>Wholesale</t>
        </is>
      </c>
      <c r="F70" s="2" t="inlineStr">
        <is>
          <t>Office Chair</t>
        </is>
      </c>
      <c r="G70" s="2" t="inlineStr">
        <is>
          <t>Furniture</t>
        </is>
      </c>
      <c r="H70" s="2" t="n">
        <v>2</v>
      </c>
      <c r="I70" s="8" t="n">
        <v>144.27</v>
      </c>
      <c r="J70" s="9" t="n">
        <v>0</v>
      </c>
      <c r="K70" s="8">
        <f>H70*I70</f>
        <v/>
      </c>
      <c r="L70" s="8">
        <f>K70*J70</f>
        <v/>
      </c>
      <c r="M70" s="8">
        <f>K70-L70</f>
        <v/>
      </c>
      <c r="N70" s="8">
        <f>IF(F70="Laptop",620,IF(F70="Headphones",28,IF(F70="Keyboard",22,IF(F70="Office Chair",95,IF(F70="Desk",110,IF(F70="Notebook Pack",4,IF(F70="Pen Set",3,IF(F70="Water Bottle",8,IF(F70="Backpack",24,IF(F70="Monitor",140,0))))))))))</f>
        <v/>
      </c>
      <c r="O70" s="8">
        <f>M70-(H70*N70)</f>
        <v/>
      </c>
      <c r="P70" s="2" t="inlineStr">
        <is>
          <t>Checked; no issue detected</t>
        </is>
      </c>
    </row>
    <row r="71">
      <c r="A71" s="2" t="inlineStr">
        <is>
          <t>S070</t>
        </is>
      </c>
      <c r="B71" s="7" t="n">
        <v>45843</v>
      </c>
      <c r="C71" s="2" t="inlineStr">
        <is>
          <t>North</t>
        </is>
      </c>
      <c r="D71" s="2" t="inlineStr">
        <is>
          <t>Aarav</t>
        </is>
      </c>
      <c r="E71" s="2" t="inlineStr">
        <is>
          <t>Wholesale</t>
        </is>
      </c>
      <c r="F71" s="2" t="inlineStr">
        <is>
          <t>Pen Set</t>
        </is>
      </c>
      <c r="G71" s="2" t="inlineStr">
        <is>
          <t>Stationery</t>
        </is>
      </c>
      <c r="H71" s="2" t="n">
        <v>7</v>
      </c>
      <c r="I71" s="8" t="n">
        <v>7.03</v>
      </c>
      <c r="J71" s="9" t="n">
        <v>0</v>
      </c>
      <c r="K71" s="8">
        <f>H71*I71</f>
        <v/>
      </c>
      <c r="L71" s="8">
        <f>K71*J71</f>
        <v/>
      </c>
      <c r="M71" s="8">
        <f>K71-L71</f>
        <v/>
      </c>
      <c r="N71" s="8">
        <f>IF(F71="Laptop",620,IF(F71="Headphones",28,IF(F71="Keyboard",22,IF(F71="Office Chair",95,IF(F71="Desk",110,IF(F71="Notebook Pack",4,IF(F71="Pen Set",3,IF(F71="Water Bottle",8,IF(F71="Backpack",24,IF(F71="Monitor",140,0))))))))))</f>
        <v/>
      </c>
      <c r="O71" s="8">
        <f>M71-(H71*N71)</f>
        <v/>
      </c>
      <c r="P71" s="2" t="inlineStr">
        <is>
          <t>Checked; no issue detected</t>
        </is>
      </c>
    </row>
    <row r="72">
      <c r="A72" s="2" t="inlineStr">
        <is>
          <t>S071</t>
        </is>
      </c>
      <c r="B72" s="7" t="n">
        <v>45935</v>
      </c>
      <c r="C72" s="2" t="inlineStr">
        <is>
          <t>South</t>
        </is>
      </c>
      <c r="D72" s="2" t="inlineStr">
        <is>
          <t>Ishaan</t>
        </is>
      </c>
      <c r="E72" s="2" t="inlineStr">
        <is>
          <t>Wholesale</t>
        </is>
      </c>
      <c r="F72" s="2" t="inlineStr">
        <is>
          <t>Laptop</t>
        </is>
      </c>
      <c r="G72" s="2" t="inlineStr">
        <is>
          <t>Stationery</t>
        </is>
      </c>
      <c r="H72" s="2" t="n">
        <v>12</v>
      </c>
      <c r="I72" s="8" t="n">
        <v>8.77</v>
      </c>
      <c r="J72" s="9" t="n">
        <v>0.15</v>
      </c>
      <c r="K72" s="8">
        <f>H72*I72</f>
        <v/>
      </c>
      <c r="L72" s="8">
        <f>K72*J72</f>
        <v/>
      </c>
      <c r="M72" s="8">
        <f>K72-L72</f>
        <v/>
      </c>
      <c r="N72" s="8">
        <f>IF(F72="Laptop",620,IF(F72="Headphones",28,IF(F72="Keyboard",22,IF(F72="Office Chair",95,IF(F72="Desk",110,IF(F72="Notebook Pack",4,IF(F72="Pen Set",3,IF(F72="Water Bottle",8,IF(F72="Backpack",24,IF(F72="Monitor",140,0))))))))))</f>
        <v/>
      </c>
      <c r="O72" s="8">
        <f>M72-(H72*N72)</f>
        <v/>
      </c>
      <c r="P72" s="2" t="inlineStr">
        <is>
          <t>Checked; no issue detected</t>
        </is>
      </c>
    </row>
    <row r="73">
      <c r="A73" s="2" t="inlineStr">
        <is>
          <t>S072</t>
        </is>
      </c>
      <c r="B73" s="7" t="n">
        <v>45969</v>
      </c>
      <c r="C73" s="2" t="inlineStr">
        <is>
          <t>West</t>
        </is>
      </c>
      <c r="D73" s="2" t="inlineStr">
        <is>
          <t>Meera</t>
        </is>
      </c>
      <c r="E73" s="2" t="inlineStr">
        <is>
          <t>Online</t>
        </is>
      </c>
      <c r="F73" s="2" t="inlineStr">
        <is>
          <t>Notebook Pack</t>
        </is>
      </c>
      <c r="G73" s="2" t="inlineStr">
        <is>
          <t>Stationery</t>
        </is>
      </c>
      <c r="H73" s="2" t="n">
        <v>10</v>
      </c>
      <c r="I73" s="8" t="n">
        <v>9.41</v>
      </c>
      <c r="J73" s="9" t="n">
        <v>0</v>
      </c>
      <c r="K73" s="8">
        <f>H73*I73</f>
        <v/>
      </c>
      <c r="L73" s="8">
        <f>K73*J73</f>
        <v/>
      </c>
      <c r="M73" s="8">
        <f>K73-L73</f>
        <v/>
      </c>
      <c r="N73" s="8">
        <f>IF(F73="Laptop",620,IF(F73="Headphones",28,IF(F73="Keyboard",22,IF(F73="Office Chair",95,IF(F73="Desk",110,IF(F73="Notebook Pack",4,IF(F73="Pen Set",3,IF(F73="Water Bottle",8,IF(F73="Backpack",24,IF(F73="Monitor",140,0))))))))))</f>
        <v/>
      </c>
      <c r="O73" s="8">
        <f>M73-(H73*N73)</f>
        <v/>
      </c>
      <c r="P73" s="2" t="inlineStr">
        <is>
          <t>Checked; no issue detected</t>
        </is>
      </c>
    </row>
    <row r="74">
      <c r="A74" s="2" t="inlineStr">
        <is>
          <t>S073</t>
        </is>
      </c>
      <c r="B74" s="7" t="n">
        <v>45723</v>
      </c>
      <c r="C74" s="2" t="inlineStr">
        <is>
          <t>West</t>
        </is>
      </c>
      <c r="D74" s="2" t="inlineStr">
        <is>
          <t>Kabir</t>
        </is>
      </c>
      <c r="E74" s="2" t="inlineStr">
        <is>
          <t>Online</t>
        </is>
      </c>
      <c r="F74" s="2" t="inlineStr">
        <is>
          <t>Laptop</t>
        </is>
      </c>
      <c r="G74" s="2" t="inlineStr">
        <is>
          <t>Electronics</t>
        </is>
      </c>
      <c r="H74" s="2" t="n">
        <v>3</v>
      </c>
      <c r="I74" s="8" t="n">
        <v>850.89</v>
      </c>
      <c r="J74" s="9" t="n">
        <v>0.1</v>
      </c>
      <c r="K74" s="8">
        <f>H74*I74</f>
        <v/>
      </c>
      <c r="L74" s="8">
        <f>K74*J74</f>
        <v/>
      </c>
      <c r="M74" s="8">
        <f>K74-L74</f>
        <v/>
      </c>
      <c r="N74" s="8">
        <f>IF(F74="Laptop",620,IF(F74="Headphones",28,IF(F74="Keyboard",22,IF(F74="Office Chair",95,IF(F74="Desk",110,IF(F74="Notebook Pack",4,IF(F74="Pen Set",3,IF(F74="Water Bottle",8,IF(F74="Backpack",24,IF(F74="Monitor",140,0))))))))))</f>
        <v/>
      </c>
      <c r="O74" s="8">
        <f>M74-(H74*N74)</f>
        <v/>
      </c>
      <c r="P74" s="2" t="inlineStr">
        <is>
          <t>Checked; no issue detected</t>
        </is>
      </c>
    </row>
    <row r="75">
      <c r="A75" s="2" t="inlineStr">
        <is>
          <t>S074</t>
        </is>
      </c>
      <c r="B75" s="7" t="n">
        <v>45661</v>
      </c>
      <c r="C75" s="2" t="inlineStr">
        <is>
          <t>West</t>
        </is>
      </c>
      <c r="D75" s="2" t="inlineStr">
        <is>
          <t>Aarav</t>
        </is>
      </c>
      <c r="E75" s="2" t="inlineStr">
        <is>
          <t>Retail</t>
        </is>
      </c>
      <c r="F75" s="2" t="inlineStr">
        <is>
          <t>Keyboard</t>
        </is>
      </c>
      <c r="G75" s="2" t="inlineStr">
        <is>
          <t>Electronics</t>
        </is>
      </c>
      <c r="H75" s="2" t="n">
        <v>7</v>
      </c>
      <c r="I75" s="8" t="n">
        <v>42.92</v>
      </c>
      <c r="J75" s="9" t="n">
        <v>0.1</v>
      </c>
      <c r="K75" s="8">
        <f>H75*I75</f>
        <v/>
      </c>
      <c r="L75" s="8">
        <f>K75*J75</f>
        <v/>
      </c>
      <c r="M75" s="8">
        <f>K75-L75</f>
        <v/>
      </c>
      <c r="N75" s="8">
        <f>IF(F75="Laptop",620,IF(F75="Headphones",28,IF(F75="Keyboard",22,IF(F75="Office Chair",95,IF(F75="Desk",110,IF(F75="Notebook Pack",4,IF(F75="Pen Set",3,IF(F75="Water Bottle",8,IF(F75="Backpack",24,IF(F75="Monitor",140,0))))))))))</f>
        <v/>
      </c>
      <c r="O75" s="8">
        <f>M75-(H75*N75)</f>
        <v/>
      </c>
      <c r="P75" s="2" t="inlineStr">
        <is>
          <t>Checked; no issue detected</t>
        </is>
      </c>
    </row>
    <row r="76">
      <c r="A76" s="2" t="inlineStr">
        <is>
          <t>S075</t>
        </is>
      </c>
      <c r="B76" s="7" t="n">
        <v>45756</v>
      </c>
      <c r="C76" s="2" t="inlineStr">
        <is>
          <t>West</t>
        </is>
      </c>
      <c r="D76" s="2" t="inlineStr">
        <is>
          <t>Ishaan</t>
        </is>
      </c>
      <c r="E76" s="2" t="inlineStr">
        <is>
          <t>Online</t>
        </is>
      </c>
      <c r="F76" s="2" t="inlineStr">
        <is>
          <t>Office Chair</t>
        </is>
      </c>
      <c r="G76" s="2" t="inlineStr">
        <is>
          <t>Furniture</t>
        </is>
      </c>
      <c r="H76" s="2" t="n">
        <v>3</v>
      </c>
      <c r="I76" s="8" t="n">
        <v>157.31</v>
      </c>
      <c r="J76" s="9" t="n">
        <v>0</v>
      </c>
      <c r="K76" s="8">
        <f>H76*I76</f>
        <v/>
      </c>
      <c r="L76" s="8">
        <f>K76*J76</f>
        <v/>
      </c>
      <c r="M76" s="8">
        <f>K76-L76</f>
        <v/>
      </c>
      <c r="N76" s="8">
        <f>IF(F76="Laptop",620,IF(F76="Headphones",28,IF(F76="Keyboard",22,IF(F76="Office Chair",95,IF(F76="Desk",110,IF(F76="Notebook Pack",4,IF(F76="Pen Set",3,IF(F76="Water Bottle",8,IF(F76="Backpack",24,IF(F76="Monitor",140,0))))))))))</f>
        <v/>
      </c>
      <c r="O76" s="8">
        <f>M76-(H76*N76)</f>
        <v/>
      </c>
      <c r="P76" s="2" t="inlineStr">
        <is>
          <t>Checked; no issue detected</t>
        </is>
      </c>
    </row>
    <row r="77">
      <c r="A77" s="2" t="inlineStr">
        <is>
          <t>S076</t>
        </is>
      </c>
      <c r="B77" s="7" t="n">
        <v>45901</v>
      </c>
      <c r="C77" s="2" t="inlineStr">
        <is>
          <t>West</t>
        </is>
      </c>
      <c r="D77" s="2" t="inlineStr">
        <is>
          <t>Meera</t>
        </is>
      </c>
      <c r="E77" s="2" t="inlineStr">
        <is>
          <t>Online</t>
        </is>
      </c>
      <c r="F77" s="2" t="inlineStr">
        <is>
          <t>Office Chair</t>
        </is>
      </c>
      <c r="G77" s="2" t="inlineStr">
        <is>
          <t>Furniture</t>
        </is>
      </c>
      <c r="H77" s="2" t="n">
        <v>7</v>
      </c>
      <c r="I77" s="8" t="n">
        <v>149.82</v>
      </c>
      <c r="J77" s="9" t="n">
        <v>0.05</v>
      </c>
      <c r="K77" s="8">
        <f>H77*I77</f>
        <v/>
      </c>
      <c r="L77" s="8">
        <f>K77*J77</f>
        <v/>
      </c>
      <c r="M77" s="8">
        <f>K77-L77</f>
        <v/>
      </c>
      <c r="N77" s="8">
        <f>IF(F77="Laptop",620,IF(F77="Headphones",28,IF(F77="Keyboard",22,IF(F77="Office Chair",95,IF(F77="Desk",110,IF(F77="Notebook Pack",4,IF(F77="Pen Set",3,IF(F77="Water Bottle",8,IF(F77="Backpack",24,IF(F77="Monitor",140,0))))))))))</f>
        <v/>
      </c>
      <c r="O77" s="8">
        <f>M77-(H77*N77)</f>
        <v/>
      </c>
      <c r="P77" s="2" t="inlineStr">
        <is>
          <t>Checked; no issue detected</t>
        </is>
      </c>
    </row>
    <row r="78">
      <c r="A78" s="2" t="inlineStr">
        <is>
          <t>S077</t>
        </is>
      </c>
      <c r="B78" s="7" t="n">
        <v>45746</v>
      </c>
      <c r="C78" s="2" t="inlineStr">
        <is>
          <t>North</t>
        </is>
      </c>
      <c r="D78" s="2" t="inlineStr">
        <is>
          <t>Ishaan</t>
        </is>
      </c>
      <c r="E78" s="2" t="inlineStr">
        <is>
          <t>Wholesale</t>
        </is>
      </c>
      <c r="F78" s="2" t="inlineStr">
        <is>
          <t>Headphones</t>
        </is>
      </c>
      <c r="G78" s="2" t="inlineStr">
        <is>
          <t>Electronics</t>
        </is>
      </c>
      <c r="H78" s="2" t="n">
        <v>4</v>
      </c>
      <c r="I78" s="8" t="n">
        <v>53.07</v>
      </c>
      <c r="J78" s="9" t="n">
        <v>0.1</v>
      </c>
      <c r="K78" s="8">
        <f>H78*I78</f>
        <v/>
      </c>
      <c r="L78" s="8">
        <f>K78*J78</f>
        <v/>
      </c>
      <c r="M78" s="8">
        <f>K78-L78</f>
        <v/>
      </c>
      <c r="N78" s="8">
        <f>IF(F78="Laptop",620,IF(F78="Headphones",28,IF(F78="Keyboard",22,IF(F78="Office Chair",95,IF(F78="Desk",110,IF(F78="Notebook Pack",4,IF(F78="Pen Set",3,IF(F78="Water Bottle",8,IF(F78="Backpack",24,IF(F78="Monitor",140,0))))))))))</f>
        <v/>
      </c>
      <c r="O78" s="8">
        <f>M78-(H78*N78)</f>
        <v/>
      </c>
      <c r="P78" s="2" t="inlineStr">
        <is>
          <t>Checked; no issue detected</t>
        </is>
      </c>
    </row>
    <row r="79">
      <c r="A79" s="2" t="inlineStr">
        <is>
          <t>S078</t>
        </is>
      </c>
      <c r="B79" s="7" t="n">
        <v>45955</v>
      </c>
      <c r="C79" s="2" t="inlineStr">
        <is>
          <t>West</t>
        </is>
      </c>
      <c r="D79" s="2" t="inlineStr">
        <is>
          <t>Aarav</t>
        </is>
      </c>
      <c r="E79" s="2" t="inlineStr">
        <is>
          <t>Retail</t>
        </is>
      </c>
      <c r="F79" s="2" t="inlineStr">
        <is>
          <t>Desk</t>
        </is>
      </c>
      <c r="G79" s="2" t="inlineStr">
        <is>
          <t>Furniture</t>
        </is>
      </c>
      <c r="H79" s="2" t="n">
        <v>6</v>
      </c>
      <c r="I79" s="8" t="n">
        <v>183.64</v>
      </c>
      <c r="J79" s="9" t="n">
        <v>0.1</v>
      </c>
      <c r="K79" s="8">
        <f>H79*I79</f>
        <v/>
      </c>
      <c r="L79" s="8">
        <f>K79*J79</f>
        <v/>
      </c>
      <c r="M79" s="8">
        <f>K79-L79</f>
        <v/>
      </c>
      <c r="N79" s="8">
        <f>IF(F79="Laptop",620,IF(F79="Headphones",28,IF(F79="Keyboard",22,IF(F79="Office Chair",95,IF(F79="Desk",110,IF(F79="Notebook Pack",4,IF(F79="Pen Set",3,IF(F79="Water Bottle",8,IF(F79="Backpack",24,IF(F79="Monitor",140,0))))))))))</f>
        <v/>
      </c>
      <c r="O79" s="8">
        <f>M79-(H79*N79)</f>
        <v/>
      </c>
      <c r="P79" s="2" t="inlineStr">
        <is>
          <t>Checked; no issue detected</t>
        </is>
      </c>
    </row>
    <row r="80">
      <c r="A80" s="2" t="inlineStr">
        <is>
          <t>S079</t>
        </is>
      </c>
      <c r="B80" s="7" t="n">
        <v>45795</v>
      </c>
      <c r="C80" s="2" t="inlineStr">
        <is>
          <t>North</t>
        </is>
      </c>
      <c r="D80" s="2" t="inlineStr">
        <is>
          <t>Ishaan</t>
        </is>
      </c>
      <c r="E80" s="2" t="inlineStr">
        <is>
          <t>Online</t>
        </is>
      </c>
      <c r="F80" s="2" t="inlineStr">
        <is>
          <t>Keyboard</t>
        </is>
      </c>
      <c r="G80" s="2" t="inlineStr">
        <is>
          <t>Electronics</t>
        </is>
      </c>
      <c r="H80" s="2" t="n">
        <v>9</v>
      </c>
      <c r="I80" s="8" t="n">
        <v>40.31</v>
      </c>
      <c r="J80" s="9" t="n">
        <v>0</v>
      </c>
      <c r="K80" s="8">
        <f>H80*I80</f>
        <v/>
      </c>
      <c r="L80" s="8">
        <f>K80*J80</f>
        <v/>
      </c>
      <c r="M80" s="8">
        <f>K80-L80</f>
        <v/>
      </c>
      <c r="N80" s="8">
        <f>IF(F80="Laptop",620,IF(F80="Headphones",28,IF(F80="Keyboard",22,IF(F80="Office Chair",95,IF(F80="Desk",110,IF(F80="Notebook Pack",4,IF(F80="Pen Set",3,IF(F80="Water Bottle",8,IF(F80="Backpack",24,IF(F80="Monitor",140,0))))))))))</f>
        <v/>
      </c>
      <c r="O80" s="8">
        <f>M80-(H80*N80)</f>
        <v/>
      </c>
      <c r="P80" s="2" t="inlineStr">
        <is>
          <t>Checked; no issue detected</t>
        </is>
      </c>
    </row>
    <row r="81">
      <c r="A81" s="2" t="inlineStr">
        <is>
          <t>S080</t>
        </is>
      </c>
      <c r="B81" s="7" t="n">
        <v>45678</v>
      </c>
      <c r="C81" s="2" t="inlineStr">
        <is>
          <t>South</t>
        </is>
      </c>
      <c r="D81" s="2" t="inlineStr">
        <is>
          <t>Diya</t>
        </is>
      </c>
      <c r="E81" s="2" t="inlineStr">
        <is>
          <t>Wholesale</t>
        </is>
      </c>
      <c r="F81" s="2" t="inlineStr">
        <is>
          <t>Office Chair</t>
        </is>
      </c>
      <c r="G81" s="2" t="inlineStr">
        <is>
          <t>Furniture</t>
        </is>
      </c>
      <c r="H81" s="2" t="n">
        <v>6</v>
      </c>
      <c r="I81" s="8" t="n">
        <v>149.08</v>
      </c>
      <c r="J81" s="9" t="n">
        <v>0.05</v>
      </c>
      <c r="K81" s="8">
        <f>H81*I81</f>
        <v/>
      </c>
      <c r="L81" s="8">
        <f>K81*J81</f>
        <v/>
      </c>
      <c r="M81" s="8">
        <f>K81-L81</f>
        <v/>
      </c>
      <c r="N81" s="8">
        <f>IF(F81="Laptop",620,IF(F81="Headphones",28,IF(F81="Keyboard",22,IF(F81="Office Chair",95,IF(F81="Desk",110,IF(F81="Notebook Pack",4,IF(F81="Pen Set",3,IF(F81="Water Bottle",8,IF(F81="Backpack",24,IF(F81="Monitor",140,0))))))))))</f>
        <v/>
      </c>
      <c r="O81" s="8">
        <f>M81-(H81*N81)</f>
        <v/>
      </c>
      <c r="P81" s="2" t="inlineStr">
        <is>
          <t>Checked; no issue detected</t>
        </is>
      </c>
    </row>
  </sheetData>
  <autoFilter ref="A1:P81"/>
  <conditionalFormatting sqref="M2:M8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25" right="0.2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3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4" customWidth="1" min="3" max="3"/>
    <col width="20" customWidth="1" min="4" max="4"/>
    <col width="18" customWidth="1" min="5" max="5"/>
    <col width="4" customWidth="1" min="6" max="6"/>
    <col width="18" customWidth="1" min="7" max="7"/>
    <col width="18" customWidth="1" min="8" max="8"/>
    <col width="3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38" customWidth="1" min="16" max="16"/>
  </cols>
  <sheetData>
    <row r="1">
      <c r="A1" s="1" t="inlineStr">
        <is>
          <t>Sales Analysis Dashboard</t>
        </is>
      </c>
    </row>
    <row r="2">
      <c r="A2" s="10" t="inlineStr">
        <is>
          <t>Formula-driven summaries based on the Cleaned Data sheet</t>
        </is>
      </c>
    </row>
    <row r="3"/>
    <row r="4">
      <c r="A4" s="3" t="inlineStr">
        <is>
          <t>Total Net Sales</t>
        </is>
      </c>
      <c r="C4" s="3" t="inlineStr">
        <is>
          <t>Total Orders</t>
        </is>
      </c>
      <c r="E4" s="3" t="inlineStr">
        <is>
          <t>Units Sold</t>
        </is>
      </c>
      <c r="G4" s="3" t="inlineStr">
        <is>
          <t>Estimated Profit</t>
        </is>
      </c>
    </row>
    <row r="5">
      <c r="A5" s="11">
        <f>SUM('Cleaned Data'!M2:M81)</f>
        <v/>
      </c>
      <c r="C5" s="12">
        <f>COUNTA('Cleaned Data'!A2:A81)</f>
        <v/>
      </c>
      <c r="E5" s="12">
        <f>SUM('Cleaned Data'!H2:H81)</f>
        <v/>
      </c>
      <c r="G5" s="11">
        <f>SUM('Cleaned Data'!O2:O81)</f>
        <v/>
      </c>
    </row>
    <row r="6"/>
    <row r="7"/>
    <row r="8">
      <c r="A8" s="13" t="inlineStr">
        <is>
          <t>Net Sales by Region</t>
        </is>
      </c>
      <c r="D8" s="13" t="inlineStr">
        <is>
          <t>Net Sales by Category</t>
        </is>
      </c>
      <c r="G8" s="13" t="inlineStr">
        <is>
          <t>Net Sales by Channel</t>
        </is>
      </c>
    </row>
    <row r="9">
      <c r="A9" s="3" t="inlineStr">
        <is>
          <t>Region</t>
        </is>
      </c>
      <c r="B9" s="3" t="inlineStr">
        <is>
          <t>Net Sales</t>
        </is>
      </c>
      <c r="D9" s="3" t="inlineStr">
        <is>
          <t>Category</t>
        </is>
      </c>
      <c r="E9" s="3" t="inlineStr">
        <is>
          <t>Net Sales</t>
        </is>
      </c>
      <c r="G9" s="3" t="inlineStr">
        <is>
          <t>Channel</t>
        </is>
      </c>
      <c r="H9" s="3" t="inlineStr">
        <is>
          <t>Net Sales</t>
        </is>
      </c>
    </row>
    <row r="10">
      <c r="A10" s="2" t="inlineStr">
        <is>
          <t>East</t>
        </is>
      </c>
      <c r="B10" s="8">
        <f>SUMIF('Cleaned Data'!$C$2:$C$81,A10,'Cleaned Data'!$M$2:$M$81)</f>
        <v/>
      </c>
      <c r="D10" s="2" t="inlineStr">
        <is>
          <t>Accessories</t>
        </is>
      </c>
      <c r="E10" s="8">
        <f>SUMIF('Cleaned Data'!$G$2:$G$81,D10,'Cleaned Data'!$M$2:$M$81)</f>
        <v/>
      </c>
      <c r="G10" s="2" t="inlineStr">
        <is>
          <t>Online</t>
        </is>
      </c>
      <c r="H10" s="8">
        <f>SUMIF('Cleaned Data'!$E$2:$E$81,G10,'Cleaned Data'!$M$2:$M$81)</f>
        <v/>
      </c>
    </row>
    <row r="11">
      <c r="A11" s="2" t="inlineStr">
        <is>
          <t>North</t>
        </is>
      </c>
      <c r="B11" s="8">
        <f>SUMIF('Cleaned Data'!$C$2:$C$81,A11,'Cleaned Data'!$M$2:$M$81)</f>
        <v/>
      </c>
      <c r="D11" s="2" t="inlineStr">
        <is>
          <t>Electronics</t>
        </is>
      </c>
      <c r="E11" s="8">
        <f>SUMIF('Cleaned Data'!$G$2:$G$81,D11,'Cleaned Data'!$M$2:$M$81)</f>
        <v/>
      </c>
      <c r="G11" s="2" t="inlineStr">
        <is>
          <t>Retail</t>
        </is>
      </c>
      <c r="H11" s="8">
        <f>SUMIF('Cleaned Data'!$E$2:$E$81,G11,'Cleaned Data'!$M$2:$M$81)</f>
        <v/>
      </c>
    </row>
    <row r="12">
      <c r="A12" s="2" t="inlineStr">
        <is>
          <t>South</t>
        </is>
      </c>
      <c r="B12" s="8">
        <f>SUMIF('Cleaned Data'!$C$2:$C$81,A12,'Cleaned Data'!$M$2:$M$81)</f>
        <v/>
      </c>
      <c r="D12" s="2" t="inlineStr">
        <is>
          <t>Furniture</t>
        </is>
      </c>
      <c r="E12" s="8">
        <f>SUMIF('Cleaned Data'!$G$2:$G$81,D12,'Cleaned Data'!$M$2:$M$81)</f>
        <v/>
      </c>
      <c r="G12" s="2" t="inlineStr">
        <is>
          <t>Wholesale</t>
        </is>
      </c>
      <c r="H12" s="8">
        <f>SUMIF('Cleaned Data'!$E$2:$E$81,G12,'Cleaned Data'!$M$2:$M$81)</f>
        <v/>
      </c>
    </row>
    <row r="13">
      <c r="A13" s="2" t="inlineStr">
        <is>
          <t>West</t>
        </is>
      </c>
      <c r="B13" s="8">
        <f>SUMIF('Cleaned Data'!$C$2:$C$81,A13,'Cleaned Data'!$M$2:$M$81)</f>
        <v/>
      </c>
      <c r="D13" s="2" t="inlineStr">
        <is>
          <t>Stationery</t>
        </is>
      </c>
      <c r="E13" s="8">
        <f>SUMIF('Cleaned Data'!$G$2:$G$81,D13,'Cleaned Data'!$M$2:$M$81)</f>
        <v/>
      </c>
    </row>
    <row r="14">
      <c r="A14" s="2" t="inlineStr">
        <is>
          <t>Unknown</t>
        </is>
      </c>
      <c r="B14" s="8">
        <f>SUMIF('Cleaned Data'!$C$2:$C$81,A14,'Cleaned Data'!$M$2:$M$81)</f>
        <v/>
      </c>
    </row>
    <row r="15"/>
    <row r="16"/>
    <row r="17"/>
    <row r="18">
      <c r="A18" s="13" t="inlineStr">
        <is>
          <t>Monthly Net Sales</t>
        </is>
      </c>
    </row>
    <row r="19">
      <c r="A19" s="3" t="inlineStr">
        <is>
          <t>Month</t>
        </is>
      </c>
      <c r="B19" s="3" t="inlineStr">
        <is>
          <t>Net Sales</t>
        </is>
      </c>
    </row>
    <row r="20">
      <c r="A20" s="14" t="n">
        <v>45658</v>
      </c>
      <c r="B20" s="8">
        <f>SUMIFS('Cleaned Data'!$M$2:$M$81,'Cleaned Data'!$B$2:$B$81,"&gt;="&amp;A20,'Cleaned Data'!$B$2:$B$81,"&lt;"&amp;EDATE(A20,1))</f>
        <v/>
      </c>
    </row>
    <row r="21">
      <c r="A21" s="14" t="n">
        <v>45689</v>
      </c>
      <c r="B21" s="8">
        <f>SUMIFS('Cleaned Data'!$M$2:$M$81,'Cleaned Data'!$B$2:$B$81,"&gt;="&amp;A21,'Cleaned Data'!$B$2:$B$81,"&lt;"&amp;EDATE(A21,1))</f>
        <v/>
      </c>
    </row>
    <row r="22">
      <c r="A22" s="14" t="n">
        <v>45717</v>
      </c>
      <c r="B22" s="8">
        <f>SUMIFS('Cleaned Data'!$M$2:$M$81,'Cleaned Data'!$B$2:$B$81,"&gt;="&amp;A22,'Cleaned Data'!$B$2:$B$81,"&lt;"&amp;EDATE(A22,1))</f>
        <v/>
      </c>
    </row>
    <row r="23">
      <c r="A23" s="14" t="n">
        <v>45748</v>
      </c>
      <c r="B23" s="8">
        <f>SUMIFS('Cleaned Data'!$M$2:$M$81,'Cleaned Data'!$B$2:$B$81,"&gt;="&amp;A23,'Cleaned Data'!$B$2:$B$81,"&lt;"&amp;EDATE(A23,1))</f>
        <v/>
      </c>
    </row>
    <row r="24">
      <c r="A24" s="14" t="n">
        <v>45778</v>
      </c>
      <c r="B24" s="8">
        <f>SUMIFS('Cleaned Data'!$M$2:$M$81,'Cleaned Data'!$B$2:$B$81,"&gt;="&amp;A24,'Cleaned Data'!$B$2:$B$81,"&lt;"&amp;EDATE(A24,1))</f>
        <v/>
      </c>
    </row>
    <row r="25">
      <c r="A25" s="14" t="n">
        <v>45809</v>
      </c>
      <c r="B25" s="8">
        <f>SUMIFS('Cleaned Data'!$M$2:$M$81,'Cleaned Data'!$B$2:$B$81,"&gt;="&amp;A25,'Cleaned Data'!$B$2:$B$81,"&lt;"&amp;EDATE(A25,1))</f>
        <v/>
      </c>
    </row>
    <row r="26">
      <c r="A26" s="14" t="n">
        <v>45839</v>
      </c>
      <c r="B26" s="8">
        <f>SUMIFS('Cleaned Data'!$M$2:$M$81,'Cleaned Data'!$B$2:$B$81,"&gt;="&amp;A26,'Cleaned Data'!$B$2:$B$81,"&lt;"&amp;EDATE(A26,1))</f>
        <v/>
      </c>
    </row>
    <row r="27">
      <c r="A27" s="14" t="n">
        <v>45870</v>
      </c>
      <c r="B27" s="8">
        <f>SUMIFS('Cleaned Data'!$M$2:$M$81,'Cleaned Data'!$B$2:$B$81,"&gt;="&amp;A27,'Cleaned Data'!$B$2:$B$81,"&lt;"&amp;EDATE(A27,1))</f>
        <v/>
      </c>
    </row>
    <row r="28">
      <c r="A28" s="14" t="n">
        <v>45901</v>
      </c>
      <c r="B28" s="8">
        <f>SUMIFS('Cleaned Data'!$M$2:$M$81,'Cleaned Data'!$B$2:$B$81,"&gt;="&amp;A28,'Cleaned Data'!$B$2:$B$81,"&lt;"&amp;EDATE(A28,1))</f>
        <v/>
      </c>
    </row>
    <row r="29">
      <c r="A29" s="14" t="n">
        <v>45931</v>
      </c>
      <c r="B29" s="8">
        <f>SUMIFS('Cleaned Data'!$M$2:$M$81,'Cleaned Data'!$B$2:$B$81,"&gt;="&amp;A29,'Cleaned Data'!$B$2:$B$81,"&lt;"&amp;EDATE(A29,1))</f>
        <v/>
      </c>
    </row>
    <row r="30">
      <c r="A30" s="14" t="n">
        <v>45962</v>
      </c>
      <c r="B30" s="8">
        <f>SUMIFS('Cleaned Data'!$M$2:$M$81,'Cleaned Data'!$B$2:$B$81,"&gt;="&amp;A30,'Cleaned Data'!$B$2:$B$81,"&lt;"&amp;EDATE(A30,1))</f>
        <v/>
      </c>
    </row>
    <row r="31">
      <c r="A31" s="14" t="n">
        <v>45992</v>
      </c>
      <c r="B31" s="8">
        <f>SUMIFS('Cleaned Data'!$M$2:$M$81,'Cleaned Data'!$B$2:$B$81,"&gt;="&amp;A31,'Cleaned Data'!$B$2:$B$81,"&lt;"&amp;EDATE(A31,1))</f>
        <v/>
      </c>
    </row>
  </sheetData>
  <mergeCells count="2">
    <mergeCell ref="A2:H2"/>
    <mergeCell ref="A1:H1"/>
  </mergeCells>
  <pageMargins left="0.25" right="0.25" top="1" bottom="1" header="0.5" footer="0.5"/>
  <pageSetup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3" customWidth="1" min="1" max="1"/>
    <col width="3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23" customHeight="1">
      <c r="A1" s="15" t="inlineStr">
        <is>
          <t>Sales Data Analysis — Findings &amp; Recommendations</t>
        </is>
      </c>
    </row>
    <row r="2" ht="23" customHeight="1"/>
    <row r="3" ht="23" customHeight="1">
      <c r="A3" s="2" t="inlineStr">
        <is>
          <t>Objective</t>
        </is>
      </c>
      <c r="B3" s="2" t="inlineStr">
        <is>
          <t>Analyze sample 2025 sales transactions to understand performance by region, category, channel and month.</t>
        </is>
      </c>
    </row>
    <row r="4" ht="23" customHeight="1"/>
    <row r="5" ht="23" customHeight="1">
      <c r="A5" s="2" t="inlineStr">
        <is>
          <t>Questions to answer</t>
        </is>
      </c>
    </row>
    <row r="6" ht="23" customHeight="1">
      <c r="A6" s="2" t="inlineStr">
        <is>
          <t>1.</t>
        </is>
      </c>
      <c r="B6" s="2" t="inlineStr">
        <is>
          <t>Which region generated the highest net sales?</t>
        </is>
      </c>
    </row>
    <row r="7" ht="23" customHeight="1">
      <c r="A7" s="2" t="inlineStr">
        <is>
          <t>2.</t>
        </is>
      </c>
      <c r="B7" s="2" t="inlineStr">
        <is>
          <t>Which product category contributed the most net sales?</t>
        </is>
      </c>
    </row>
    <row r="8" ht="23" customHeight="1">
      <c r="A8" s="2" t="inlineStr">
        <is>
          <t>3.</t>
        </is>
      </c>
      <c r="B8" s="2" t="inlineStr">
        <is>
          <t>How do sales vary across Online, Retail and Wholesale channels?</t>
        </is>
      </c>
    </row>
    <row r="9" ht="23" customHeight="1">
      <c r="A9" s="2" t="inlineStr">
        <is>
          <t>4.</t>
        </is>
      </c>
      <c r="B9" s="2" t="inlineStr">
        <is>
          <t>Which months show stronger or weaker sales?</t>
        </is>
      </c>
    </row>
    <row r="10" ht="23" customHeight="1">
      <c r="A10" s="2" t="inlineStr">
        <is>
          <t>5.</t>
        </is>
      </c>
      <c r="B10" s="2" t="inlineStr">
        <is>
          <t>What data-quality issues were corrected?</t>
        </is>
      </c>
    </row>
    <row r="11" ht="23" customHeight="1"/>
    <row r="12" ht="23" customHeight="1"/>
    <row r="13" ht="23" customHeight="1">
      <c r="A13" s="4" t="inlineStr">
        <is>
          <t>Findings template</t>
        </is>
      </c>
    </row>
    <row r="14" ht="23" customHeight="1">
      <c r="A14" s="16" t="inlineStr">
        <is>
          <t>Region</t>
        </is>
      </c>
      <c r="B14" s="5" t="inlineStr">
        <is>
          <t>Use the Region summary and chart on the Analysis sheet. Name the highest and lowest regions after Excel recalculates.</t>
        </is>
      </c>
    </row>
    <row r="15" ht="23" customHeight="1">
      <c r="A15" s="16" t="inlineStr">
        <is>
          <t>Category</t>
        </is>
      </c>
      <c r="B15" s="5" t="inlineStr">
        <is>
          <t>Use the Category summary and pie chart to identify the largest sales contributor.</t>
        </is>
      </c>
    </row>
    <row r="16" ht="23" customHeight="1">
      <c r="A16" s="16" t="inlineStr">
        <is>
          <t>Channel</t>
        </is>
      </c>
      <c r="B16" s="5" t="inlineStr">
        <is>
          <t>Compare Online, Retail and Wholesale totals. Consider whether channel performance may be affected by order size or discounts.</t>
        </is>
      </c>
    </row>
    <row r="17" ht="23" customHeight="1">
      <c r="A17" s="16" t="inlineStr">
        <is>
          <t>Monthly trend</t>
        </is>
      </c>
      <c r="B17" s="5" t="inlineStr">
        <is>
          <t>Review the monthly line chart. Note any peaks or dips; do not claim a cause unless supported by more data.</t>
        </is>
      </c>
    </row>
    <row r="18" ht="23" customHeight="1">
      <c r="A18" s="16" t="inlineStr">
        <is>
          <t>Data cleaning</t>
        </is>
      </c>
      <c r="B18" s="5" t="inlineStr">
        <is>
          <t>Document how missing values, inconsistent capitalization/whitespace, invalid values and duplicate rows were handled.</t>
        </is>
      </c>
    </row>
    <row r="19" ht="23" customHeight="1"/>
    <row r="20" ht="23" customHeight="1"/>
    <row r="21" ht="23" customHeight="1">
      <c r="A21" s="4" t="inlineStr">
        <is>
          <t>Conclusion (edit after reviewing the results)</t>
        </is>
      </c>
    </row>
    <row r="22" ht="36" customHeight="1">
      <c r="A22" s="5" t="inlineStr">
        <is>
          <t>The analysis demonstrates how spreadsheet cleaning, formulas, filters, summaries and charts can convert transaction-level data into useful business information. Replace this paragraph with 2–3 specific findings from your calculated results.</t>
        </is>
      </c>
    </row>
    <row r="23" ht="23" customHeight="1"/>
    <row r="24" ht="23" customHeight="1"/>
    <row r="25" ht="23" customHeight="1"/>
    <row r="26" ht="23" customHeight="1">
      <c r="A26" s="4" t="inlineStr">
        <is>
          <t>Limitations</t>
        </is>
      </c>
    </row>
    <row r="27" ht="23" customHeight="1">
      <c r="A27" s="5" t="inlineStr">
        <is>
          <t>This is synthetic demonstration data, not verified company sales. Estimated profit uses fixed reference costs and should not be treated as actual financial performance.</t>
        </is>
      </c>
    </row>
    <row r="28" ht="23" customHeight="1"/>
  </sheetData>
  <mergeCells count="14">
    <mergeCell ref="B7:F7"/>
    <mergeCell ref="B6:F6"/>
    <mergeCell ref="B16:F16"/>
    <mergeCell ref="B15:F15"/>
    <mergeCell ref="B10:F10"/>
    <mergeCell ref="A1:F1"/>
    <mergeCell ref="B18:F18"/>
    <mergeCell ref="B3:F3"/>
    <mergeCell ref="A22:F24"/>
    <mergeCell ref="B14:F14"/>
    <mergeCell ref="A27:F28"/>
    <mergeCell ref="B8:F8"/>
    <mergeCell ref="B17:F17"/>
    <mergeCell ref="B9:F9"/>
  </mergeCells>
  <pageMargins left="0.25" right="0.2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2026-10-16T05:33:53Z</dcterms:created>
  <dcterms:modified xmlns:dcterms="http://purl.org/dc/terms/" xmlns:xsi="http://www.w3.org/2001/XMLSchema-instance" xsi:type="dcterms:W3CDTF">2026-10-16T05:33:53Z</dcterms:modified>
</cp:coreProperties>
</file>